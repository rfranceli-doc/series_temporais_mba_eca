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gascloud-my.sharepoint.com/personal/cs239675_comgas_com_br/Documents/Área de Trabalho/PC/Academico/Docência/USP EAC Séries Temporais/"/>
    </mc:Choice>
  </mc:AlternateContent>
  <xr:revisionPtr revIDLastSave="65" documentId="8_{61CB5C52-A3B2-4EB2-9146-093CD201CD17}" xr6:coauthVersionLast="47" xr6:coauthVersionMax="47" xr10:uidLastSave="{0BBA56EA-4B09-48E4-A4B2-392301ABDED5}"/>
  <bookViews>
    <workbookView xWindow="-108" yWindow="-108" windowWidth="22080" windowHeight="13176" activeTab="1" xr2:uid="{29EB9A61-72B5-4BD6-A5A0-277CD69F8ED4}"/>
  </bookViews>
  <sheets>
    <sheet name="Planilha1" sheetId="1" r:id="rId1"/>
    <sheet name="Planilha2" sheetId="2" r:id="rId2"/>
    <sheet name="RESIDENCIAL_COLETIVO Aditivo" sheetId="3" r:id="rId3"/>
    <sheet name="RESIDENCIAL_COLETIVO Multip" sheetId="4" r:id="rId4"/>
    <sheet name="RESIDENCIAL_COLETIVO Suavizaçã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" i="5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12" i="4"/>
  <c r="I12" i="3"/>
  <c r="H20" i="4"/>
  <c r="H21" i="4"/>
  <c r="H22" i="4"/>
  <c r="H23" i="4"/>
  <c r="H24" i="4"/>
  <c r="H25" i="4"/>
  <c r="H26" i="4"/>
  <c r="H27" i="4"/>
  <c r="H28" i="4"/>
  <c r="H29" i="4"/>
  <c r="H30" i="4"/>
  <c r="H19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12" i="4"/>
  <c r="G12" i="3"/>
  <c r="H7" i="3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12" i="3"/>
  <c r="D84" i="4"/>
  <c r="D83" i="4"/>
  <c r="D82" i="4"/>
  <c r="D81" i="4"/>
  <c r="D80" i="4"/>
  <c r="D79" i="4"/>
  <c r="D78" i="4"/>
  <c r="D77" i="4"/>
  <c r="E76" i="4"/>
  <c r="D76" i="4"/>
  <c r="D75" i="4"/>
  <c r="D74" i="4"/>
  <c r="D73" i="4"/>
  <c r="E72" i="4"/>
  <c r="D72" i="4"/>
  <c r="E77" i="4" s="1"/>
  <c r="D71" i="4"/>
  <c r="D70" i="4"/>
  <c r="E75" i="4" s="1"/>
  <c r="D69" i="4"/>
  <c r="E68" i="4"/>
  <c r="D68" i="4"/>
  <c r="E73" i="4" s="1"/>
  <c r="D67" i="4"/>
  <c r="D66" i="4"/>
  <c r="E71" i="4" s="1"/>
  <c r="D65" i="4"/>
  <c r="E64" i="4"/>
  <c r="D64" i="4"/>
  <c r="E69" i="4" s="1"/>
  <c r="D63" i="4"/>
  <c r="D62" i="4"/>
  <c r="E67" i="4" s="1"/>
  <c r="D61" i="4"/>
  <c r="E60" i="4"/>
  <c r="D60" i="4"/>
  <c r="E65" i="4" s="1"/>
  <c r="D59" i="4"/>
  <c r="D58" i="4"/>
  <c r="D57" i="4"/>
  <c r="E56" i="4"/>
  <c r="D56" i="4"/>
  <c r="E61" i="4" s="1"/>
  <c r="D55" i="4"/>
  <c r="D54" i="4"/>
  <c r="D53" i="4"/>
  <c r="E52" i="4"/>
  <c r="D52" i="4"/>
  <c r="E57" i="4" s="1"/>
  <c r="D51" i="4"/>
  <c r="D50" i="4"/>
  <c r="E55" i="4" s="1"/>
  <c r="D49" i="4"/>
  <c r="E48" i="4"/>
  <c r="D48" i="4"/>
  <c r="E53" i="4" s="1"/>
  <c r="D47" i="4"/>
  <c r="E49" i="4" s="1"/>
  <c r="D46" i="4"/>
  <c r="E51" i="4" s="1"/>
  <c r="D45" i="4"/>
  <c r="E44" i="4"/>
  <c r="D44" i="4"/>
  <c r="D43" i="4"/>
  <c r="E45" i="4" s="1"/>
  <c r="D42" i="4"/>
  <c r="E47" i="4" s="1"/>
  <c r="D41" i="4"/>
  <c r="E40" i="4"/>
  <c r="D40" i="4"/>
  <c r="D39" i="4"/>
  <c r="E41" i="4" s="1"/>
  <c r="D38" i="4"/>
  <c r="E43" i="4" s="1"/>
  <c r="D37" i="4"/>
  <c r="E36" i="4"/>
  <c r="D36" i="4"/>
  <c r="D35" i="4"/>
  <c r="E37" i="4" s="1"/>
  <c r="D34" i="4"/>
  <c r="E39" i="4" s="1"/>
  <c r="D33" i="4"/>
  <c r="E32" i="4"/>
  <c r="D32" i="4"/>
  <c r="D31" i="4"/>
  <c r="E33" i="4" s="1"/>
  <c r="D30" i="4"/>
  <c r="E35" i="4" s="1"/>
  <c r="D29" i="4"/>
  <c r="E28" i="4"/>
  <c r="D28" i="4"/>
  <c r="D27" i="4"/>
  <c r="E29" i="4" s="1"/>
  <c r="D26" i="4"/>
  <c r="E31" i="4" s="1"/>
  <c r="D25" i="4"/>
  <c r="E24" i="4"/>
  <c r="D24" i="4"/>
  <c r="D23" i="4"/>
  <c r="E25" i="4" s="1"/>
  <c r="D22" i="4"/>
  <c r="E27" i="4" s="1"/>
  <c r="D21" i="4"/>
  <c r="E20" i="4"/>
  <c r="D20" i="4"/>
  <c r="D19" i="4"/>
  <c r="E21" i="4" s="1"/>
  <c r="D18" i="4"/>
  <c r="E23" i="4" s="1"/>
  <c r="D17" i="4"/>
  <c r="E16" i="4"/>
  <c r="D16" i="4"/>
  <c r="D15" i="4"/>
  <c r="E17" i="4" s="1"/>
  <c r="D14" i="4"/>
  <c r="E19" i="4" s="1"/>
  <c r="D13" i="4"/>
  <c r="D12" i="4"/>
  <c r="D11" i="4"/>
  <c r="D10" i="4"/>
  <c r="E15" i="4" s="1"/>
  <c r="D9" i="4"/>
  <c r="E13" i="4" s="1"/>
  <c r="D8" i="4"/>
  <c r="D7" i="4"/>
  <c r="E12" i="4" s="1"/>
  <c r="E31" i="5" l="1"/>
  <c r="E63" i="5"/>
  <c r="E80" i="5"/>
  <c r="E40" i="5"/>
  <c r="E57" i="5"/>
  <c r="E18" i="5"/>
  <c r="E26" i="5"/>
  <c r="E34" i="5"/>
  <c r="E42" i="5"/>
  <c r="E50" i="5"/>
  <c r="E58" i="5"/>
  <c r="E66" i="5"/>
  <c r="E74" i="5"/>
  <c r="E82" i="5"/>
  <c r="E39" i="5"/>
  <c r="E70" i="5"/>
  <c r="E32" i="5"/>
  <c r="E73" i="5"/>
  <c r="E19" i="5"/>
  <c r="E27" i="5"/>
  <c r="E35" i="5"/>
  <c r="E43" i="5"/>
  <c r="E51" i="5"/>
  <c r="E59" i="5"/>
  <c r="E67" i="5"/>
  <c r="E75" i="5"/>
  <c r="E83" i="5"/>
  <c r="E47" i="5"/>
  <c r="E79" i="5"/>
  <c r="E24" i="5"/>
  <c r="E65" i="5"/>
  <c r="E20" i="5"/>
  <c r="E28" i="5"/>
  <c r="E36" i="5"/>
  <c r="E44" i="5"/>
  <c r="E52" i="5"/>
  <c r="E60" i="5"/>
  <c r="E68" i="5"/>
  <c r="E76" i="5"/>
  <c r="E84" i="5"/>
  <c r="E22" i="5"/>
  <c r="E55" i="5"/>
  <c r="E48" i="5"/>
  <c r="E81" i="5"/>
  <c r="E21" i="5"/>
  <c r="E29" i="5"/>
  <c r="E37" i="5"/>
  <c r="E45" i="5"/>
  <c r="E53" i="5"/>
  <c r="E61" i="5"/>
  <c r="E69" i="5"/>
  <c r="E77" i="5"/>
  <c r="E62" i="5"/>
  <c r="E30" i="5"/>
  <c r="E78" i="5"/>
  <c r="E46" i="5"/>
  <c r="E38" i="5"/>
  <c r="E54" i="5"/>
  <c r="E49" i="5"/>
  <c r="E41" i="5"/>
  <c r="E33" i="5"/>
  <c r="E25" i="5"/>
  <c r="E72" i="5"/>
  <c r="E64" i="5"/>
  <c r="E56" i="5"/>
  <c r="E71" i="5"/>
  <c r="E23" i="5"/>
  <c r="H12" i="4"/>
  <c r="H13" i="4"/>
  <c r="H16" i="4"/>
  <c r="H8" i="4"/>
  <c r="E59" i="4"/>
  <c r="E63" i="4"/>
  <c r="E14" i="4"/>
  <c r="E18" i="4"/>
  <c r="E22" i="4"/>
  <c r="E26" i="4"/>
  <c r="E30" i="4"/>
  <c r="E34" i="4"/>
  <c r="E38" i="4"/>
  <c r="E42" i="4"/>
  <c r="E46" i="4"/>
  <c r="E50" i="4"/>
  <c r="E54" i="4"/>
  <c r="E58" i="4"/>
  <c r="E62" i="4"/>
  <c r="E66" i="4"/>
  <c r="E70" i="4"/>
  <c r="E74" i="4"/>
  <c r="E78" i="4"/>
  <c r="H9" i="4" l="1"/>
  <c r="H15" i="4"/>
  <c r="H11" i="4"/>
  <c r="H17" i="4"/>
  <c r="H7" i="4"/>
  <c r="H18" i="4" l="1"/>
  <c r="H14" i="4"/>
  <c r="H10" i="4"/>
  <c r="H42" i="4" l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7" i="3"/>
  <c r="H32" i="4" l="1"/>
  <c r="H39" i="4"/>
  <c r="H54" i="4"/>
  <c r="H33" i="4"/>
  <c r="H31" i="4"/>
  <c r="H38" i="4"/>
  <c r="H36" i="4"/>
  <c r="H35" i="4"/>
  <c r="H40" i="4"/>
  <c r="H34" i="4"/>
  <c r="H37" i="4"/>
  <c r="H41" i="4"/>
  <c r="E22" i="3"/>
  <c r="E29" i="3"/>
  <c r="E68" i="3"/>
  <c r="E75" i="3"/>
  <c r="E67" i="3"/>
  <c r="E59" i="3"/>
  <c r="E51" i="3"/>
  <c r="E43" i="3"/>
  <c r="E35" i="3"/>
  <c r="E27" i="3"/>
  <c r="E19" i="3"/>
  <c r="E70" i="3"/>
  <c r="E30" i="3"/>
  <c r="E21" i="3"/>
  <c r="G22" i="3" s="1"/>
  <c r="E44" i="3"/>
  <c r="E74" i="3"/>
  <c r="E66" i="3"/>
  <c r="E58" i="3"/>
  <c r="E50" i="3"/>
  <c r="G51" i="3" s="1"/>
  <c r="E42" i="3"/>
  <c r="E34" i="3"/>
  <c r="E26" i="3"/>
  <c r="E18" i="3"/>
  <c r="E78" i="3"/>
  <c r="E38" i="3"/>
  <c r="E37" i="3"/>
  <c r="E36" i="3"/>
  <c r="E73" i="3"/>
  <c r="E65" i="3"/>
  <c r="E57" i="3"/>
  <c r="E49" i="3"/>
  <c r="E41" i="3"/>
  <c r="E33" i="3"/>
  <c r="E25" i="3"/>
  <c r="E17" i="3"/>
  <c r="E14" i="3"/>
  <c r="E77" i="3"/>
  <c r="E61" i="3"/>
  <c r="E53" i="3"/>
  <c r="E45" i="3"/>
  <c r="E60" i="3"/>
  <c r="G61" i="3" s="1"/>
  <c r="E28" i="3"/>
  <c r="E72" i="3"/>
  <c r="G59" i="3"/>
  <c r="E64" i="3"/>
  <c r="E56" i="3"/>
  <c r="G57" i="3" s="1"/>
  <c r="E48" i="3"/>
  <c r="G43" i="3"/>
  <c r="E40" i="3"/>
  <c r="G41" i="3" s="1"/>
  <c r="E32" i="3"/>
  <c r="E24" i="3"/>
  <c r="G19" i="3"/>
  <c r="E16" i="3"/>
  <c r="E62" i="3"/>
  <c r="E54" i="3"/>
  <c r="E46" i="3"/>
  <c r="E69" i="3"/>
  <c r="E13" i="3"/>
  <c r="E76" i="3"/>
  <c r="E52" i="3"/>
  <c r="E20" i="3"/>
  <c r="G21" i="3" s="1"/>
  <c r="G74" i="3"/>
  <c r="E71" i="3"/>
  <c r="E63" i="3"/>
  <c r="E55" i="3"/>
  <c r="G56" i="3" s="1"/>
  <c r="E47" i="3"/>
  <c r="G42" i="3"/>
  <c r="E39" i="3"/>
  <c r="E31" i="3"/>
  <c r="E23" i="3"/>
  <c r="E15" i="3"/>
  <c r="E12" i="3"/>
  <c r="H53" i="4" l="1"/>
  <c r="H47" i="4"/>
  <c r="H45" i="4"/>
  <c r="H49" i="4"/>
  <c r="H48" i="4"/>
  <c r="H66" i="4"/>
  <c r="H46" i="4"/>
  <c r="H50" i="4"/>
  <c r="H51" i="4"/>
  <c r="H52" i="4"/>
  <c r="H43" i="4"/>
  <c r="H44" i="4"/>
  <c r="G70" i="3"/>
  <c r="G33" i="3"/>
  <c r="G38" i="3"/>
  <c r="G76" i="3"/>
  <c r="G39" i="3"/>
  <c r="G67" i="3"/>
  <c r="G28" i="3"/>
  <c r="G46" i="3"/>
  <c r="G65" i="3"/>
  <c r="G36" i="3"/>
  <c r="G77" i="3"/>
  <c r="G27" i="3"/>
  <c r="G49" i="3"/>
  <c r="G25" i="3"/>
  <c r="G64" i="3"/>
  <c r="G31" i="3"/>
  <c r="G73" i="3"/>
  <c r="G16" i="3"/>
  <c r="G40" i="3"/>
  <c r="G14" i="3"/>
  <c r="H56" i="4" l="1"/>
  <c r="H58" i="4"/>
  <c r="H78" i="4"/>
  <c r="H59" i="4"/>
  <c r="H61" i="4"/>
  <c r="H55" i="4"/>
  <c r="H62" i="4"/>
  <c r="H57" i="4"/>
  <c r="H64" i="4"/>
  <c r="H63" i="4"/>
  <c r="H60" i="4"/>
  <c r="H65" i="4"/>
  <c r="G23" i="3"/>
  <c r="G54" i="3"/>
  <c r="G63" i="3"/>
  <c r="G35" i="3"/>
  <c r="G30" i="3"/>
  <c r="G68" i="3"/>
  <c r="G44" i="3"/>
  <c r="G55" i="3"/>
  <c r="G72" i="3"/>
  <c r="G45" i="3"/>
  <c r="G13" i="3"/>
  <c r="G66" i="3"/>
  <c r="G34" i="3"/>
  <c r="G29" i="3"/>
  <c r="G69" i="3"/>
  <c r="G75" i="3"/>
  <c r="G18" i="3"/>
  <c r="G58" i="3"/>
  <c r="G60" i="3"/>
  <c r="G52" i="3"/>
  <c r="H16" i="3" s="1"/>
  <c r="I16" i="3" s="1"/>
  <c r="G37" i="3"/>
  <c r="G47" i="3"/>
  <c r="H11" i="3" s="1"/>
  <c r="G53" i="3"/>
  <c r="G26" i="3"/>
  <c r="G71" i="3"/>
  <c r="G50" i="3"/>
  <c r="G20" i="3"/>
  <c r="G15" i="3"/>
  <c r="G17" i="3"/>
  <c r="G32" i="3"/>
  <c r="G48" i="3"/>
  <c r="H12" i="3" s="1"/>
  <c r="G62" i="3"/>
  <c r="G24" i="3"/>
  <c r="H13" i="3" l="1"/>
  <c r="I13" i="3" s="1"/>
  <c r="H69" i="4"/>
  <c r="H74" i="4"/>
  <c r="H77" i="4"/>
  <c r="H72" i="4"/>
  <c r="H75" i="4"/>
  <c r="H67" i="4"/>
  <c r="H70" i="4"/>
  <c r="H71" i="4"/>
  <c r="H76" i="4"/>
  <c r="H73" i="4"/>
  <c r="H68" i="4"/>
  <c r="H14" i="3"/>
  <c r="I14" i="3" s="1"/>
  <c r="H8" i="3"/>
  <c r="H9" i="3"/>
  <c r="H18" i="3"/>
  <c r="I18" i="3" s="1"/>
  <c r="H10" i="3"/>
  <c r="H17" i="3"/>
  <c r="I17" i="3" s="1"/>
  <c r="H15" i="3"/>
  <c r="I15" i="3" s="1"/>
  <c r="H25" i="3" l="1"/>
  <c r="I25" i="3" s="1"/>
  <c r="H20" i="3"/>
  <c r="I20" i="3" s="1"/>
  <c r="H22" i="3"/>
  <c r="H34" i="3" s="1"/>
  <c r="I34" i="3" s="1"/>
  <c r="H21" i="3"/>
  <c r="I21" i="3" s="1"/>
  <c r="H83" i="4"/>
  <c r="H84" i="4"/>
  <c r="H80" i="4"/>
  <c r="H82" i="4"/>
  <c r="H79" i="4"/>
  <c r="H81" i="4"/>
  <c r="H30" i="3"/>
  <c r="I30" i="3" s="1"/>
  <c r="H29" i="3"/>
  <c r="I29" i="3" s="1"/>
  <c r="H26" i="3"/>
  <c r="H38" i="3" s="1"/>
  <c r="I38" i="3" s="1"/>
  <c r="H23" i="3"/>
  <c r="I23" i="3" s="1"/>
  <c r="H24" i="3"/>
  <c r="H36" i="3" s="1"/>
  <c r="I36" i="3" s="1"/>
  <c r="H28" i="3"/>
  <c r="H19" i="3"/>
  <c r="H27" i="3"/>
  <c r="I27" i="3" s="1"/>
  <c r="H37" i="3"/>
  <c r="I37" i="3" s="1"/>
  <c r="H32" i="3" l="1"/>
  <c r="I32" i="3" s="1"/>
  <c r="H33" i="3"/>
  <c r="I33" i="3" s="1"/>
  <c r="I22" i="3"/>
  <c r="I26" i="3"/>
  <c r="H50" i="3"/>
  <c r="I50" i="3" s="1"/>
  <c r="H41" i="3"/>
  <c r="H45" i="3"/>
  <c r="I45" i="3" s="1"/>
  <c r="H42" i="3"/>
  <c r="I42" i="3" s="1"/>
  <c r="I24" i="3"/>
  <c r="H35" i="3"/>
  <c r="I35" i="3" s="1"/>
  <c r="H46" i="3"/>
  <c r="I46" i="3" s="1"/>
  <c r="H49" i="3"/>
  <c r="I49" i="3" s="1"/>
  <c r="H31" i="3"/>
  <c r="I19" i="3"/>
  <c r="H40" i="3"/>
  <c r="I28" i="3"/>
  <c r="H48" i="3"/>
  <c r="I48" i="3" s="1"/>
  <c r="H39" i="3"/>
  <c r="H44" i="3"/>
  <c r="H62" i="3" l="1"/>
  <c r="I62" i="3" s="1"/>
  <c r="H54" i="3"/>
  <c r="I54" i="3" s="1"/>
  <c r="H47" i="3"/>
  <c r="I47" i="3" s="1"/>
  <c r="H60" i="3"/>
  <c r="I60" i="3" s="1"/>
  <c r="H58" i="3"/>
  <c r="I58" i="3" s="1"/>
  <c r="H59" i="3"/>
  <c r="I59" i="3" s="1"/>
  <c r="H57" i="3"/>
  <c r="I57" i="3" s="1"/>
  <c r="I41" i="3"/>
  <c r="H53" i="3"/>
  <c r="H61" i="3"/>
  <c r="I61" i="3" s="1"/>
  <c r="H66" i="3"/>
  <c r="I66" i="3" s="1"/>
  <c r="H51" i="3"/>
  <c r="I39" i="3"/>
  <c r="H56" i="3"/>
  <c r="I56" i="3" s="1"/>
  <c r="I44" i="3"/>
  <c r="I40" i="3"/>
  <c r="H52" i="3"/>
  <c r="I31" i="3"/>
  <c r="H43" i="3"/>
  <c r="H72" i="3"/>
  <c r="I72" i="3" s="1"/>
  <c r="H70" i="3"/>
  <c r="I70" i="3" s="1"/>
  <c r="H74" i="3"/>
  <c r="I74" i="3" s="1"/>
  <c r="H69" i="3" l="1"/>
  <c r="I69" i="3" s="1"/>
  <c r="H71" i="3"/>
  <c r="I71" i="3" s="1"/>
  <c r="I53" i="3"/>
  <c r="H65" i="3"/>
  <c r="H78" i="3"/>
  <c r="I78" i="3" s="1"/>
  <c r="H73" i="3"/>
  <c r="I73" i="3" s="1"/>
  <c r="I43" i="3"/>
  <c r="H55" i="3"/>
  <c r="I52" i="3"/>
  <c r="H64" i="3"/>
  <c r="H68" i="3"/>
  <c r="I68" i="3" s="1"/>
  <c r="I51" i="3"/>
  <c r="H63" i="3"/>
  <c r="H84" i="3"/>
  <c r="H83" i="3"/>
  <c r="H82" i="3"/>
  <c r="H81" i="3" l="1"/>
  <c r="I65" i="3"/>
  <c r="H77" i="3"/>
  <c r="I77" i="3" s="1"/>
  <c r="H80" i="3"/>
  <c r="I63" i="3"/>
  <c r="H75" i="3"/>
  <c r="I75" i="3" s="1"/>
  <c r="I64" i="3"/>
  <c r="H76" i="3"/>
  <c r="I76" i="3" s="1"/>
  <c r="I55" i="3"/>
  <c r="H67" i="3"/>
  <c r="I67" i="3" l="1"/>
  <c r="H79" i="3"/>
  <c r="I79" i="3" s="1"/>
</calcChain>
</file>

<file path=xl/sharedStrings.xml><?xml version="1.0" encoding="utf-8"?>
<sst xmlns="http://schemas.openxmlformats.org/spreadsheetml/2006/main" count="539" uniqueCount="82">
  <si>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</si>
  <si>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</si>
  <si>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</si>
  <si>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</si>
  <si>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</si>
  <si>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</si>
  <si>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</si>
  <si>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</si>
  <si>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</si>
  <si>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</si>
  <si>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</si>
  <si>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Usuários</t>
  </si>
  <si>
    <t>Cativo - Residencial Individual</t>
  </si>
  <si>
    <t>Cativo - Residencial Coletivo</t>
  </si>
  <si>
    <t>Cativo - Comercial</t>
  </si>
  <si>
    <t>Industrial</t>
  </si>
  <si>
    <t>GNV - Postos / Transporte Público / Frotas</t>
  </si>
  <si>
    <t>GNV - Postos</t>
  </si>
  <si>
    <t>GNV - Transporte Público</t>
  </si>
  <si>
    <t>GNV - Frotas</t>
  </si>
  <si>
    <t>Cogeração</t>
  </si>
  <si>
    <t>Refrigeração</t>
  </si>
  <si>
    <t>GNL</t>
  </si>
  <si>
    <t>Interruptível</t>
  </si>
  <si>
    <t>Alto Fator de Carga</t>
  </si>
  <si>
    <t>GNC</t>
  </si>
  <si>
    <t>Cativo - Termelétrica</t>
  </si>
  <si>
    <t>Total Não Térmico</t>
  </si>
  <si>
    <t>5º Ciclo</t>
  </si>
  <si>
    <t>6º Ciclo</t>
  </si>
  <si>
    <t>Medidores faturados</t>
  </si>
  <si>
    <t>Volume (m³/mês)</t>
  </si>
  <si>
    <t>Clientes Cativo - Residencial Individual</t>
  </si>
  <si>
    <t>Clientes Cativo - Residencial Coletivo</t>
  </si>
  <si>
    <t>Clientes Cativo - Comercial</t>
  </si>
  <si>
    <t>Clientes Industrial</t>
  </si>
  <si>
    <t>Clientes GNV - Postos / Transporte Público / Frotas</t>
  </si>
  <si>
    <t>Clientes GNV - Postos</t>
  </si>
  <si>
    <t>Clientes GNV - Transporte Público</t>
  </si>
  <si>
    <t>Clientes GNV - Frotas</t>
  </si>
  <si>
    <t>Clientes Cogeração</t>
  </si>
  <si>
    <t>Clientes Refrigeração</t>
  </si>
  <si>
    <t>Clientes GNL</t>
  </si>
  <si>
    <t>Clientes Interruptível</t>
  </si>
  <si>
    <t>Clientes Alto Fator de Carga</t>
  </si>
  <si>
    <t>Clientes GNC</t>
  </si>
  <si>
    <t>Clientes Cativo - Termelétrica</t>
  </si>
  <si>
    <t>Clientes Total Não Térmico</t>
  </si>
  <si>
    <t>Volume Cativo - Residencial Individual</t>
  </si>
  <si>
    <t>Volume Cativo - Residencial Coletivo</t>
  </si>
  <si>
    <t>Volume Cativo - Comercial</t>
  </si>
  <si>
    <t>Volume Industrial</t>
  </si>
  <si>
    <t>Volume GNV - Postos / Transporte Público / Frotas</t>
  </si>
  <si>
    <t>Volume GNV - Postos</t>
  </si>
  <si>
    <t>Volume GNV - Transporte Público</t>
  </si>
  <si>
    <t>Volume GNV - Frotas</t>
  </si>
  <si>
    <t>Volume Cogeração</t>
  </si>
  <si>
    <t>Volume Refrigeração</t>
  </si>
  <si>
    <t>Volume GNL</t>
  </si>
  <si>
    <t>Volume Interruptível</t>
  </si>
  <si>
    <t>Volume Alto Fator de Carga</t>
  </si>
  <si>
    <t>Volume GNC</t>
  </si>
  <si>
    <t>Volume Cativo - Termelétrica</t>
  </si>
  <si>
    <t>Volume Total Não Térmico</t>
  </si>
  <si>
    <t>Volume por cliente</t>
  </si>
  <si>
    <t>Média Móvel</t>
  </si>
  <si>
    <t>Decomposição Aditiva</t>
  </si>
  <si>
    <t>X(t) = T + S + (C + E)</t>
  </si>
  <si>
    <t>X(t) - T = S + (C + E)</t>
  </si>
  <si>
    <t>Sazonalidade</t>
  </si>
  <si>
    <t>Resíduo</t>
  </si>
  <si>
    <t>Média Centralizada</t>
  </si>
  <si>
    <t>Tendência</t>
  </si>
  <si>
    <t>Real - Tendência</t>
  </si>
  <si>
    <t>Ciclo + Erro</t>
  </si>
  <si>
    <t>X(t) = T.S .(C.E)</t>
  </si>
  <si>
    <t>X(t)/T = S .(C.E)</t>
  </si>
  <si>
    <t>X(t)/(T.S) = C.E</t>
  </si>
  <si>
    <t>Real / Tendência</t>
  </si>
  <si>
    <t>SES</t>
  </si>
  <si>
    <t>alpha</t>
  </si>
  <si>
    <t>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</si>
</sst>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([$€-2]* #,##0.00_);_([$€-2]* \(#,##0.00\);_([$€-2]* &quot;-&quot;??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theme="0"/>
      <name val="Trebuchet MS"/>
      <family val="2"/>
    </font>
    <font>
      <u/>
      <sz val="10"/>
      <color rgb="FF0000FF"/>
      <name val="Arial"/>
      <family val="2"/>
    </font>
    <font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theme="0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6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15" fillId="2" borderId="0" applyNumberFormat="0" applyBorder="0" applyAlignment="0" applyProtection="0"/>
    <xf numFmtId="0" fontId="10" fillId="5" borderId="0" applyNumberFormat="0" applyBorder="0" applyAlignment="0" applyProtection="0"/>
    <xf numFmtId="0" fontId="9" fillId="10" borderId="1" applyNumberFormat="0" applyAlignment="0" applyProtection="0"/>
    <xf numFmtId="0" fontId="9" fillId="10" borderId="1" applyNumberFormat="0" applyAlignment="0" applyProtection="0"/>
    <xf numFmtId="43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13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1" fillId="23" borderId="0" applyNumberFormat="0" applyBorder="0" applyAlignment="0" applyProtection="0"/>
    <xf numFmtId="0" fontId="2" fillId="0" borderId="0"/>
    <xf numFmtId="165" fontId="2" fillId="0" borderId="0"/>
    <xf numFmtId="0" fontId="2" fillId="0" borderId="0"/>
    <xf numFmtId="0" fontId="12" fillId="10" borderId="5" applyNumberFormat="0" applyAlignment="0" applyProtection="0"/>
    <xf numFmtId="9" fontId="1" fillId="0" borderId="0" applyFont="0" applyFill="0" applyBorder="0" applyAlignment="0" applyProtection="0"/>
    <xf numFmtId="0" fontId="12" fillId="10" borderId="5" applyNumberFormat="0" applyAlignment="0" applyProtection="0"/>
    <xf numFmtId="0" fontId="1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4" fillId="0" borderId="6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10" fillId="5" borderId="0" applyNumberFormat="0" applyBorder="0" applyAlignment="0" applyProtection="0"/>
    <xf numFmtId="0" fontId="21" fillId="6" borderId="0" applyNumberFormat="0" applyBorder="0" applyAlignment="0" applyProtection="0"/>
    <xf numFmtId="0" fontId="9" fillId="10" borderId="1" applyNumberFormat="0" applyAlignment="0" applyProtection="0"/>
    <xf numFmtId="0" fontId="9" fillId="10" borderId="1" applyNumberFormat="0" applyAlignment="0" applyProtection="0"/>
    <xf numFmtId="0" fontId="22" fillId="24" borderId="8" applyNumberFormat="0" applyAlignment="0" applyProtection="0"/>
    <xf numFmtId="0" fontId="20" fillId="0" borderId="9" applyNumberFormat="0" applyFill="0" applyAlignment="0" applyProtection="0"/>
    <xf numFmtId="0" fontId="22" fillId="24" borderId="8" applyNumberFormat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23" fillId="10" borderId="1" applyNumberFormat="0" applyAlignment="0" applyProtection="0"/>
    <xf numFmtId="0" fontId="13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3" fillId="9" borderId="1" applyNumberFormat="0" applyAlignment="0" applyProtection="0"/>
    <xf numFmtId="0" fontId="20" fillId="0" borderId="9" applyNumberFormat="0" applyFill="0" applyAlignment="0" applyProtection="0"/>
    <xf numFmtId="0" fontId="11" fillId="23" borderId="0" applyNumberFormat="0" applyBorder="0" applyAlignment="0" applyProtection="0"/>
    <xf numFmtId="0" fontId="2" fillId="25" borderId="10" applyNumberFormat="0" applyFont="0" applyAlignment="0" applyProtection="0"/>
    <xf numFmtId="0" fontId="3" fillId="25" borderId="10" applyNumberFormat="0" applyFont="0" applyAlignment="0" applyProtection="0"/>
    <xf numFmtId="0" fontId="12" fillId="10" borderId="5" applyNumberFormat="0" applyAlignment="0" applyProtection="0"/>
    <xf numFmtId="0" fontId="12" fillId="10" borderId="5" applyNumberFormat="0" applyAlignment="0" applyProtection="0"/>
    <xf numFmtId="0" fontId="2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17" fillId="0" borderId="0" xfId="0" applyFont="1" applyAlignment="1">
      <alignment horizontal="center"/>
    </xf>
    <xf numFmtId="14" fontId="0" fillId="0" borderId="0" xfId="0" applyNumberFormat="1"/>
    <xf numFmtId="0" fontId="19" fillId="0" borderId="7" xfId="0" applyFont="1" applyBorder="1"/>
    <xf numFmtId="17" fontId="17" fillId="0" borderId="7" xfId="0" applyNumberFormat="1" applyFont="1" applyBorder="1"/>
    <xf numFmtId="0" fontId="17" fillId="0" borderId="7" xfId="0" applyFont="1" applyBorder="1"/>
    <xf numFmtId="164" fontId="17" fillId="26" borderId="7" xfId="74" applyNumberFormat="1" applyFont="1" applyFill="1" applyBorder="1" applyAlignment="1"/>
    <xf numFmtId="164" fontId="17" fillId="27" borderId="7" xfId="74" applyNumberFormat="1" applyFont="1" applyFill="1" applyBorder="1" applyAlignment="1"/>
    <xf numFmtId="164" fontId="17" fillId="0" borderId="7" xfId="74" applyNumberFormat="1" applyFont="1" applyBorder="1" applyAlignment="1"/>
    <xf numFmtId="164" fontId="17" fillId="0" borderId="0" xfId="0" applyNumberFormat="1" applyFont="1"/>
    <xf numFmtId="0" fontId="18" fillId="0" borderId="0" xfId="0" applyFont="1"/>
    <xf numFmtId="0" fontId="19" fillId="0" borderId="0" xfId="0" applyFont="1"/>
    <xf numFmtId="2" fontId="0" fillId="0" borderId="0" xfId="0" applyNumberFormat="1"/>
    <xf numFmtId="0" fontId="25" fillId="28" borderId="0" xfId="0" applyFont="1" applyFill="1"/>
    <xf numFmtId="2" fontId="0" fillId="29" borderId="0" xfId="0" applyNumberFormat="1" applyFill="1"/>
    <xf numFmtId="0" fontId="0" fillId="0" borderId="0" xfId="0" applyAlignment="1">
      <alignment horizontal="center"/>
    </xf>
  </cellXfs>
  <cellStyles count="156">
    <cellStyle name="20% - Accent1" xfId="78" xr:uid="{F1600351-601D-481E-9E3A-F61D87EBEA5F}"/>
    <cellStyle name="20% - Accent1 2" xfId="1" xr:uid="{DED5A004-459C-40EE-9958-88139BAF0DFB}"/>
    <cellStyle name="20% - Accent2" xfId="79" xr:uid="{FF045FAC-E75E-46D6-90CD-AC454A084951}"/>
    <cellStyle name="20% - Accent2 2" xfId="2" xr:uid="{20C8C3B6-365D-4CEE-BB1E-57866DDA4570}"/>
    <cellStyle name="20% - Accent3" xfId="80" xr:uid="{6B1430BF-284E-4A23-AAF5-AFF96F6C26E4}"/>
    <cellStyle name="20% - Accent3 2" xfId="3" xr:uid="{2476CDDF-7EBC-4AB1-AEF4-993FB7991E93}"/>
    <cellStyle name="20% - Accent4" xfId="81" xr:uid="{D75053EA-769A-4D49-93C1-F60180BEF025}"/>
    <cellStyle name="20% - Accent4 2" xfId="4" xr:uid="{C0928BE3-5B31-4436-A4E9-81ECAE03CA64}"/>
    <cellStyle name="20% - Accent5" xfId="82" xr:uid="{9A4697E8-6C9F-47CD-B264-9A4437AA7206}"/>
    <cellStyle name="20% - Accent5 2" xfId="5" xr:uid="{3205D782-B94E-4F36-8E14-59FBECA91BFF}"/>
    <cellStyle name="20% - Accent6" xfId="83" xr:uid="{92EC30BC-A70C-41F8-9857-2ED2E6D46DC2}"/>
    <cellStyle name="20% - Accent6 2" xfId="6" xr:uid="{8431D228-7D34-49A2-968A-4D19EC4D4819}"/>
    <cellStyle name="20% - Ênfase1 2" xfId="84" xr:uid="{57747A07-6ADB-4579-8DC0-1B84193426F7}"/>
    <cellStyle name="20% - Ênfase1 3" xfId="7" xr:uid="{15AAAF64-2169-4BA4-BD56-B09EABC68E82}"/>
    <cellStyle name="20% - Ênfase2 2" xfId="85" xr:uid="{712BDB27-83B5-46A9-B781-A2C7293F0F36}"/>
    <cellStyle name="20% - Ênfase2 3" xfId="8" xr:uid="{5035A215-D464-4C9E-ADE1-9FB808EA8794}"/>
    <cellStyle name="20% - Ênfase3 2" xfId="86" xr:uid="{149BD8D1-F467-4788-AC8C-6C972B463215}"/>
    <cellStyle name="20% - Ênfase3 3" xfId="9" xr:uid="{5D1AC6B3-6448-48F6-87B1-C1E7166440AA}"/>
    <cellStyle name="20% - Ênfase4 2" xfId="87" xr:uid="{33ED0B95-8D7C-4E1B-9EB7-36B861AD0EE9}"/>
    <cellStyle name="20% - Ênfase4 3" xfId="10" xr:uid="{3220215C-BC4D-4BDB-A567-5030BBE09FAC}"/>
    <cellStyle name="20% - Ênfase5 2" xfId="88" xr:uid="{5AD00749-D740-4381-BC34-64E7A0CC25F4}"/>
    <cellStyle name="20% - Ênfase5 3" xfId="11" xr:uid="{7E745576-1AB8-4F35-8BA8-8D9ED3210C30}"/>
    <cellStyle name="20% - Ênfase6 2" xfId="89" xr:uid="{5C47740A-341B-4FA6-A73A-2C65BA55E6F3}"/>
    <cellStyle name="20% - Ênfase6 3" xfId="12" xr:uid="{CAEEF1B8-BAAD-45AA-B228-D7A575BF3574}"/>
    <cellStyle name="40% - Accent1" xfId="90" xr:uid="{D37720FD-599C-4892-95F1-D53530AD05EC}"/>
    <cellStyle name="40% - Accent1 2" xfId="13" xr:uid="{39875F77-9A89-4AF5-A38E-AA089F28B236}"/>
    <cellStyle name="40% - Accent2" xfId="91" xr:uid="{4C926BAF-9C99-46E9-8DC8-0D797BCA7726}"/>
    <cellStyle name="40% - Accent2 2" xfId="14" xr:uid="{0015E1A1-A1A9-41D5-8F22-1CAA23515C6B}"/>
    <cellStyle name="40% - Accent3" xfId="92" xr:uid="{848DC961-7BD6-42A8-A1E1-EDE053F7B52D}"/>
    <cellStyle name="40% - Accent3 2" xfId="15" xr:uid="{3424E397-8D87-4BFF-ABC2-129FC38A65A0}"/>
    <cellStyle name="40% - Accent4" xfId="93" xr:uid="{C852CD59-95B6-412D-B291-116AF5708ED7}"/>
    <cellStyle name="40% - Accent4 2" xfId="16" xr:uid="{734852DD-1719-4A32-BAE1-A234F668E66A}"/>
    <cellStyle name="40% - Accent5" xfId="94" xr:uid="{D92C379F-E08B-4CC1-9DF0-0E2FB0CB59CF}"/>
    <cellStyle name="40% - Accent5 2" xfId="17" xr:uid="{2188D65D-3D99-48B0-939F-83F4B8C3FDDC}"/>
    <cellStyle name="40% - Accent6" xfId="155" xr:uid="{D68C3E92-CC07-428D-9C40-395DF7AA5BFB}"/>
    <cellStyle name="40% - Accent6 2" xfId="18" xr:uid="{181447DB-028A-434E-A1B3-E6B0F6A365C8}"/>
    <cellStyle name="40% - Ênfase1 2" xfId="95" xr:uid="{015DBB9B-2513-40F0-AFBA-CCACF1636082}"/>
    <cellStyle name="40% - Ênfase1 3" xfId="19" xr:uid="{8ACF8B23-AE7D-43AA-ADEA-FAAEAC0C4D2D}"/>
    <cellStyle name="40% - Ênfase2 2" xfId="96" xr:uid="{B8F6194B-8405-462E-B654-6AB1E8775263}"/>
    <cellStyle name="40% - Ênfase2 3" xfId="20" xr:uid="{B4212A70-7E7F-46DC-8A8B-9C91092CD445}"/>
    <cellStyle name="40% - Ênfase3 2" xfId="97" xr:uid="{7EE2B801-B909-4BEF-AE49-2CC720B9CEFB}"/>
    <cellStyle name="40% - Ênfase3 3" xfId="21" xr:uid="{36763A73-9E20-4EC0-AE50-78021CF29CAD}"/>
    <cellStyle name="40% - Ênfase4 2" xfId="98" xr:uid="{A0DEAFA9-4A3C-447D-A94D-33FC5D6E923B}"/>
    <cellStyle name="40% - Ênfase4 3" xfId="22" xr:uid="{DA7258BC-AB7E-4897-8647-F18C78A00CD7}"/>
    <cellStyle name="40% - Ênfase5 2" xfId="99" xr:uid="{CEC404E0-6CD7-4825-86F5-4A4F689E13D5}"/>
    <cellStyle name="40% - Ênfase5 3" xfId="23" xr:uid="{8C1F319A-5B71-4957-ACBE-95478E066635}"/>
    <cellStyle name="60% - Accent1" xfId="100" xr:uid="{ED4DB347-22B8-4245-AE57-079B917E86D1}"/>
    <cellStyle name="60% - Accent1 2" xfId="24" xr:uid="{22CED9EA-C28F-4BDC-AD5F-3AC759F5C59C}"/>
    <cellStyle name="60% - Accent2" xfId="101" xr:uid="{04938AEA-9C10-4B8E-A6BD-F711A2A850C1}"/>
    <cellStyle name="60% - Accent2 2" xfId="25" xr:uid="{0BC127CB-D86A-4A4D-9125-B49DDC612D1F}"/>
    <cellStyle name="60% - Accent3" xfId="102" xr:uid="{B220AC75-DA68-4925-91B1-E84F90B1723C}"/>
    <cellStyle name="60% - Accent3 2" xfId="26" xr:uid="{68D3CA28-209C-41B0-A174-D091DFA4B59D}"/>
    <cellStyle name="60% - Accent4" xfId="103" xr:uid="{9B304A07-AECD-4DCB-BB5B-D47791175AB8}"/>
    <cellStyle name="60% - Accent4 2" xfId="27" xr:uid="{47336099-376F-42B2-9BFB-DBEE390D1CA0}"/>
    <cellStyle name="60% - Accent5" xfId="104" xr:uid="{A8AECED2-4229-4559-A8CB-9C99ECB5CC50}"/>
    <cellStyle name="60% - Accent5 2" xfId="28" xr:uid="{011030BA-3B13-4701-922F-F6CD24C87EFA}"/>
    <cellStyle name="60% - Accent6" xfId="105" xr:uid="{A125F4AE-20FA-4605-9622-2070B88E2605}"/>
    <cellStyle name="60% - Accent6 2" xfId="29" xr:uid="{4A716242-BBA0-4F2A-B3DC-DD5C883FB468}"/>
    <cellStyle name="60% - Ênfase1 2" xfId="106" xr:uid="{EBE81680-53A1-4715-897F-24801A986363}"/>
    <cellStyle name="60% - Ênfase1 3" xfId="30" xr:uid="{EDF0E9A9-3115-41C2-BAD0-E137CCB24591}"/>
    <cellStyle name="60% - Ênfase2 2" xfId="107" xr:uid="{B1BB4A2F-343C-439B-A5F3-F3C6667E0CF2}"/>
    <cellStyle name="60% - Ênfase2 3" xfId="31" xr:uid="{29DB60FF-00B2-42DC-8157-6FC66DCABAE7}"/>
    <cellStyle name="60% - Ênfase3 2" xfId="108" xr:uid="{B9EA39CE-44E9-42EB-A5D4-01E8724173C0}"/>
    <cellStyle name="60% - Ênfase3 3" xfId="32" xr:uid="{E9F9AC3A-DA04-4825-8F20-483B467A588F}"/>
    <cellStyle name="60% - Ênfase4 2" xfId="109" xr:uid="{4146149F-1117-40AD-BE2C-5CE2156C9470}"/>
    <cellStyle name="60% - Ênfase4 3" xfId="33" xr:uid="{8BED01F3-6281-4B59-835C-E65080D74AE7}"/>
    <cellStyle name="60% - Ênfase5 2" xfId="110" xr:uid="{C9465EA1-8083-4A3F-B681-4B770855A3C3}"/>
    <cellStyle name="60% - Ênfase5 3" xfId="34" xr:uid="{45DE826F-2622-42FA-ABF2-7538FB6803F4}"/>
    <cellStyle name="60% - Ênfase6 2" xfId="111" xr:uid="{A4F72E8D-8044-4112-956D-B59BB97F1E1E}"/>
    <cellStyle name="60% - Ênfase6 3" xfId="35" xr:uid="{24AA381B-84CD-4B33-96A4-440F1AAF97EA}"/>
    <cellStyle name="Accent1" xfId="112" xr:uid="{9908DC2D-ECC8-4DD9-B11E-92AA06C96E9F}"/>
    <cellStyle name="Accent1 2" xfId="36" xr:uid="{39ED5BE0-9BCE-4139-834B-FFFBC2A3D9A1}"/>
    <cellStyle name="Accent2" xfId="113" xr:uid="{BFDE58E2-08B8-4507-AE1C-3933D5DBA243}"/>
    <cellStyle name="Accent2 2" xfId="37" xr:uid="{4886C04E-7F1D-4116-B6DB-DF66AD68C448}"/>
    <cellStyle name="Accent3" xfId="114" xr:uid="{AE4DA29C-AEB4-4398-AE37-BB256AEA290D}"/>
    <cellStyle name="Accent3 2" xfId="38" xr:uid="{7ED60EE8-7248-46AC-A8B0-9DD82DCE2654}"/>
    <cellStyle name="Accent4" xfId="115" xr:uid="{7751FD03-8C8B-4571-9584-7B407B85FAA9}"/>
    <cellStyle name="Accent4 2" xfId="39" xr:uid="{95A9014C-4060-43AC-8524-CE3D82E1631E}"/>
    <cellStyle name="Accent5" xfId="116" xr:uid="{08878EFB-A68C-4CB1-801C-21259A6D3746}"/>
    <cellStyle name="Accent5 2" xfId="40" xr:uid="{9FD1522A-327C-4F51-B7BB-CD53DB94BA9C}"/>
    <cellStyle name="Accent6" xfId="117" xr:uid="{D06F51A1-4E9D-4576-8253-DCE9557C96D8}"/>
    <cellStyle name="Accent6 2" xfId="41" xr:uid="{BDA95B19-0266-48B7-8380-E3A2DCBA8823}"/>
    <cellStyle name="Accent6 3" xfId="42" xr:uid="{6BDE547C-633D-45F7-9887-5F14A26887AB}"/>
    <cellStyle name="Bad" xfId="118" xr:uid="{E2DD2EEA-B841-481A-8537-D51BEF589E00}"/>
    <cellStyle name="Bad 2" xfId="43" xr:uid="{62C79BAE-F08B-452F-9147-9C68DCD9854D}"/>
    <cellStyle name="Bom 2" xfId="119" xr:uid="{2959A2E9-1BE4-4D3F-85F4-101207C8D05F}"/>
    <cellStyle name="Calculation" xfId="120" xr:uid="{E2550BCF-EC59-4CFE-B216-019CE7CE9A27}"/>
    <cellStyle name="Calculation 2" xfId="44" xr:uid="{CB24CC58-FBC1-4CE0-A2F0-BA671B2BD8CE}"/>
    <cellStyle name="Cálculo 2" xfId="121" xr:uid="{2F87B1E9-968A-4428-95F3-51C13926AE5B}"/>
    <cellStyle name="Cálculo 3" xfId="45" xr:uid="{C42668AC-EA0D-4F0C-9BA5-FC9840CA6731}"/>
    <cellStyle name="Célula de Verificação 2" xfId="122" xr:uid="{F8415249-BF19-4972-A119-8D8CCDCE82BB}"/>
    <cellStyle name="Célula Vinculada 2" xfId="123" xr:uid="{B96FC802-BB67-400C-A795-D659A8D3BE26}"/>
    <cellStyle name="Check Cell" xfId="124" xr:uid="{C9138861-4C9E-4762-BB48-6ACDB3A795EC}"/>
    <cellStyle name="Comma 2" xfId="46" xr:uid="{C9E81E47-1EC5-4D06-B1CF-D1F4272B2D69}"/>
    <cellStyle name="Comma 3" xfId="77" xr:uid="{053C3D27-B767-4957-B4C3-25A410C2C33B}"/>
    <cellStyle name="Ênfase1 2" xfId="125" xr:uid="{85A4649D-FCF7-4332-B91A-70FEE10767F9}"/>
    <cellStyle name="Ênfase1 3" xfId="47" xr:uid="{4F998EFA-A952-446C-A63F-8A56D9F788F3}"/>
    <cellStyle name="Ênfase2 2" xfId="126" xr:uid="{B1595410-589A-4035-ADEE-622571366B17}"/>
    <cellStyle name="Ênfase2 3" xfId="48" xr:uid="{F114A77D-87A7-4397-BA8A-A784FAB03245}"/>
    <cellStyle name="Ênfase3 2" xfId="127" xr:uid="{67BCDD6D-0327-43BA-82F8-A6B494E93A57}"/>
    <cellStyle name="Ênfase3 3" xfId="49" xr:uid="{348B65D5-C05E-4183-9A6C-A85628DFA191}"/>
    <cellStyle name="Ênfase4 2" xfId="128" xr:uid="{235B74A8-0111-4C1E-B39B-04320142216C}"/>
    <cellStyle name="Ênfase4 3" xfId="50" xr:uid="{727031D1-DB58-4211-8A34-800AD5498AA1}"/>
    <cellStyle name="Ênfase5 2" xfId="129" xr:uid="{A00BD73E-884A-48ED-8BFB-A2E7D1C99348}"/>
    <cellStyle name="Ênfase5 3" xfId="51" xr:uid="{26F0A4FA-366B-46ED-820A-9B046EB8E806}"/>
    <cellStyle name="Ênfase6 2" xfId="130" xr:uid="{65BA7697-C81B-4092-8FBA-4FFDA57E324C}"/>
    <cellStyle name="Ênfase6 3" xfId="52" xr:uid="{5C81CFAE-FE3D-45DF-900E-52236D61B99D}"/>
    <cellStyle name="Entrada 2" xfId="131" xr:uid="{07E04C65-D865-4D89-A298-3538C5A33BC5}"/>
    <cellStyle name="Explanatory Text" xfId="132" xr:uid="{C4F81521-75F3-4EFF-ADCD-7D8C767AD6AF}"/>
    <cellStyle name="Explanatory Text 2" xfId="53" xr:uid="{FE1850A9-C219-4F34-A76C-71E3AB830F6F}"/>
    <cellStyle name="Good" xfId="133" xr:uid="{A392BCFB-2801-4E30-A8C9-3BC22113998F}"/>
    <cellStyle name="Heading 1" xfId="134" xr:uid="{7C74FB9A-1328-4DB9-B96C-6363CD8CDF53}"/>
    <cellStyle name="Heading 1 2" xfId="54" xr:uid="{272C07F2-7DF3-4428-BD5D-615AA319755C}"/>
    <cellStyle name="Heading 2" xfId="135" xr:uid="{180DE5AA-2289-4A71-8822-F6D2E406CF1B}"/>
    <cellStyle name="Heading 2 2" xfId="55" xr:uid="{A390B80D-6692-4DD7-81F5-D86F2C2B6D52}"/>
    <cellStyle name="Heading 3" xfId="136" xr:uid="{520798BE-FA45-4483-A519-A07A7F54A69E}"/>
    <cellStyle name="Heading 3 2" xfId="56" xr:uid="{1659085C-3B2B-421D-83E5-5476D3A399F7}"/>
    <cellStyle name="Heading 4" xfId="137" xr:uid="{965A885E-B8A1-422B-BADA-80D90D76A32A}"/>
    <cellStyle name="Heading 4 2" xfId="57" xr:uid="{E023008F-2488-41A1-B883-EA187E8C02CE}"/>
    <cellStyle name="Hyperlink 2" xfId="58" xr:uid="{5108BE83-841D-4311-B6D6-C9ECA9FD1233}"/>
    <cellStyle name="Input" xfId="138" xr:uid="{D372F8A6-125A-4260-A65F-9890C137BD09}"/>
    <cellStyle name="Linked Cell" xfId="139" xr:uid="{76893CB0-6A02-46AF-B7E0-E3EBBF1E7693}"/>
    <cellStyle name="Moeda 2" xfId="154" xr:uid="{C9432A31-7A89-4202-BEE3-F8D90AE09712}"/>
    <cellStyle name="Neutral" xfId="140" xr:uid="{5D3066A0-B323-46B2-9FAB-37C0CE448CF7}"/>
    <cellStyle name="Neutral 2" xfId="59" xr:uid="{261DE926-B92C-4D72-B72E-E416CFF6C26A}"/>
    <cellStyle name="Normal" xfId="0" builtinId="0"/>
    <cellStyle name="Normal 2" xfId="60" xr:uid="{62012819-3814-4DD7-B482-62AAE26810F7}"/>
    <cellStyle name="Normal 2 22" xfId="61" xr:uid="{0F72F5E5-4632-432F-A7FC-36E41DD04930}"/>
    <cellStyle name="Normal 3" xfId="62" xr:uid="{152BB2FB-6D90-471B-AA12-1FC68D4FE116}"/>
    <cellStyle name="Nota 2" xfId="141" xr:uid="{65172E90-45C9-4F48-A734-8B2C05291FEE}"/>
    <cellStyle name="Note" xfId="142" xr:uid="{EA76416A-A0F9-47BE-B571-3ABFCDCAFAAA}"/>
    <cellStyle name="Output" xfId="143" xr:uid="{41EC14A7-6F67-4BCC-B30C-A3DD47E2CAF1}"/>
    <cellStyle name="Output 2" xfId="63" xr:uid="{8C71217D-6626-4B2D-9227-C32E664777C2}"/>
    <cellStyle name="Porcentagem 2" xfId="64" xr:uid="{E4B3B287-B107-4C4A-8326-9CB638D86DD5}"/>
    <cellStyle name="Saída 2" xfId="144" xr:uid="{DDA81B97-BA62-44D4-A49C-CA491F7160F8}"/>
    <cellStyle name="Saída 3" xfId="65" xr:uid="{62795ADF-940B-47D4-802C-DDD1D7B81465}"/>
    <cellStyle name="Texto de Aviso 2" xfId="145" xr:uid="{644D8714-39EE-4C6F-93F4-6DDAC5D5214F}"/>
    <cellStyle name="Texto Explicativo 2" xfId="146" xr:uid="{4C35731C-75D9-4E3A-89C9-13570047D463}"/>
    <cellStyle name="Texto Explicativo 3" xfId="66" xr:uid="{B4592AC5-DF03-4B4E-9FE9-CCCAB14ED68F}"/>
    <cellStyle name="Title" xfId="147" xr:uid="{ADA54B0A-EDEA-4B24-8ED6-B30479562228}"/>
    <cellStyle name="Title 2" xfId="67" xr:uid="{44398D6F-B378-442B-91CD-C4DB7F70CFFC}"/>
    <cellStyle name="Título 1 2" xfId="149" xr:uid="{C8158AC1-1BCC-4868-8A35-C7D31BFD66AB}"/>
    <cellStyle name="Título 1 3" xfId="69" xr:uid="{B7EA6D44-0E4B-40D0-B710-82749D7FD758}"/>
    <cellStyle name="Título 2 2" xfId="150" xr:uid="{E1011FB2-E18D-4C9A-B5C6-02F6DAE13EC8}"/>
    <cellStyle name="Título 2 3" xfId="70" xr:uid="{2A20E624-05B5-4ACD-AC29-0B2F5C1DE05B}"/>
    <cellStyle name="Título 3 2" xfId="151" xr:uid="{B141A9E5-457F-4E4A-B46D-D24F6D9FDD10}"/>
    <cellStyle name="Título 3 3" xfId="71" xr:uid="{C975B3D4-4678-4506-88AD-3D0912114C40}"/>
    <cellStyle name="Título 4 2" xfId="152" xr:uid="{473C5BB9-0FAF-4B00-8B37-141F4A91F8E4}"/>
    <cellStyle name="Título 4 3" xfId="72" xr:uid="{57D92DEA-45E4-49BB-9660-AD8981CD4A3D}"/>
    <cellStyle name="Título 5" xfId="148" xr:uid="{816E5657-1A1B-4A58-87FF-68A5A8BEB154}"/>
    <cellStyle name="Título 6" xfId="68" xr:uid="{EAA30A79-6CD6-44C3-898A-75CB840F770F}"/>
    <cellStyle name="Total 2" xfId="73" xr:uid="{6D675E5F-2F5E-4656-9000-50FBF5BED92C}"/>
    <cellStyle name="Vírgula 2" xfId="75" xr:uid="{800D3D7E-34B2-44F4-8933-60D82F12D822}"/>
    <cellStyle name="Vírgula 3" xfId="76" xr:uid="{6510039B-39EF-44A8-9CEF-AAA46ACD577C}"/>
    <cellStyle name="Vírgula 4" xfId="74" xr:uid="{B9E741AA-FA9D-4945-8481-A0222E865271}"/>
    <cellStyle name="Warning Text" xfId="153" xr:uid="{4CD0A89A-2870-451D-827B-4EDC8FDE1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Tendência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Aditivo'!$A$7:$A$84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Aditivo'!$F$7:$F$84</c:f>
              <c:numCache>
                <c:formatCode>General</c:formatCode>
                <c:ptCount val="78"/>
                <c:pt idx="5" formatCode="0.00">
                  <c:v>17.20784525165633</c:v>
                </c:pt>
                <c:pt idx="6" formatCode="0.00">
                  <c:v>17.069852911456792</c:v>
                </c:pt>
                <c:pt idx="7" formatCode="0.00">
                  <c:v>17.028898691033735</c:v>
                </c:pt>
                <c:pt idx="8" formatCode="0.00">
                  <c:v>17.027861038773914</c:v>
                </c:pt>
                <c:pt idx="9" formatCode="0.00">
                  <c:v>17.020965821690602</c:v>
                </c:pt>
                <c:pt idx="10" formatCode="0.00">
                  <c:v>16.895504702328502</c:v>
                </c:pt>
                <c:pt idx="11" formatCode="0.00">
                  <c:v>16.839043267994654</c:v>
                </c:pt>
                <c:pt idx="12" formatCode="0.00">
                  <c:v>16.915525710050527</c:v>
                </c:pt>
                <c:pt idx="13" formatCode="0.00">
                  <c:v>16.982152407636345</c:v>
                </c:pt>
                <c:pt idx="14" formatCode="0.00">
                  <c:v>17.088506948487428</c:v>
                </c:pt>
                <c:pt idx="15" formatCode="0.00">
                  <c:v>17.111862225921641</c:v>
                </c:pt>
                <c:pt idx="16" formatCode="0.00">
                  <c:v>17.228111155744656</c:v>
                </c:pt>
                <c:pt idx="17" formatCode="0.00">
                  <c:v>17.45468818040689</c:v>
                </c:pt>
                <c:pt idx="18" formatCode="0.00">
                  <c:v>17.488020658564345</c:v>
                </c:pt>
                <c:pt idx="19" formatCode="0.00">
                  <c:v>17.412048004659596</c:v>
                </c:pt>
                <c:pt idx="20" formatCode="0.00">
                  <c:v>17.297002401255742</c:v>
                </c:pt>
                <c:pt idx="21" formatCode="0.00">
                  <c:v>17.156050412490949</c:v>
                </c:pt>
                <c:pt idx="22" formatCode="0.00">
                  <c:v>17.156517950976859</c:v>
                </c:pt>
                <c:pt idx="23" formatCode="0.00">
                  <c:v>17.139666001871564</c:v>
                </c:pt>
                <c:pt idx="24" formatCode="0.00">
                  <c:v>16.994103227280206</c:v>
                </c:pt>
                <c:pt idx="25" formatCode="0.00">
                  <c:v>16.944459463525583</c:v>
                </c:pt>
                <c:pt idx="26" formatCode="0.00">
                  <c:v>16.817625032086177</c:v>
                </c:pt>
                <c:pt idx="27" formatCode="0.00">
                  <c:v>16.652336832150539</c:v>
                </c:pt>
                <c:pt idx="28" formatCode="0.00">
                  <c:v>16.632171374667308</c:v>
                </c:pt>
                <c:pt idx="29" formatCode="0.00">
                  <c:v>16.700567523605855</c:v>
                </c:pt>
                <c:pt idx="30" formatCode="0.00">
                  <c:v>16.773500664094552</c:v>
                </c:pt>
                <c:pt idx="31" formatCode="0.00">
                  <c:v>16.878452082812238</c:v>
                </c:pt>
                <c:pt idx="32" formatCode="0.00">
                  <c:v>16.925517355402754</c:v>
                </c:pt>
                <c:pt idx="33" formatCode="0.00">
                  <c:v>16.933551439234293</c:v>
                </c:pt>
                <c:pt idx="34" formatCode="0.00">
                  <c:v>16.971080897307992</c:v>
                </c:pt>
                <c:pt idx="35" formatCode="0.00">
                  <c:v>16.974962864881586</c:v>
                </c:pt>
                <c:pt idx="36" formatCode="0.00">
                  <c:v>16.999021560052142</c:v>
                </c:pt>
                <c:pt idx="37" formatCode="0.00">
                  <c:v>17.028574345237313</c:v>
                </c:pt>
                <c:pt idx="38" formatCode="0.00">
                  <c:v>16.984079633666873</c:v>
                </c:pt>
                <c:pt idx="39" formatCode="0.00">
                  <c:v>16.883950590567608</c:v>
                </c:pt>
                <c:pt idx="40" formatCode="0.00">
                  <c:v>16.789946888774871</c:v>
                </c:pt>
                <c:pt idx="41" formatCode="0.00">
                  <c:v>16.672622572484435</c:v>
                </c:pt>
                <c:pt idx="42" formatCode="0.00">
                  <c:v>16.557368192342068</c:v>
                </c:pt>
                <c:pt idx="43" formatCode="0.00">
                  <c:v>16.378245788431123</c:v>
                </c:pt>
                <c:pt idx="44" formatCode="0.00">
                  <c:v>16.306549861518278</c:v>
                </c:pt>
                <c:pt idx="45" formatCode="0.00">
                  <c:v>16.435871442908937</c:v>
                </c:pt>
                <c:pt idx="46" formatCode="0.00">
                  <c:v>16.452924157285061</c:v>
                </c:pt>
                <c:pt idx="47" formatCode="0.00">
                  <c:v>16.388145226769794</c:v>
                </c:pt>
                <c:pt idx="48" formatCode="0.00">
                  <c:v>16.333922692581361</c:v>
                </c:pt>
                <c:pt idx="49" formatCode="0.00">
                  <c:v>16.282068204243135</c:v>
                </c:pt>
                <c:pt idx="50" formatCode="0.00">
                  <c:v>16.291492286648012</c:v>
                </c:pt>
                <c:pt idx="51" formatCode="0.00">
                  <c:v>16.280402141534474</c:v>
                </c:pt>
                <c:pt idx="52" formatCode="0.00">
                  <c:v>16.174516941122469</c:v>
                </c:pt>
                <c:pt idx="53" formatCode="0.00">
                  <c:v>16.021290787605292</c:v>
                </c:pt>
                <c:pt idx="54" formatCode="0.00">
                  <c:v>15.915029297979526</c:v>
                </c:pt>
                <c:pt idx="55" formatCode="0.00">
                  <c:v>15.83385476440265</c:v>
                </c:pt>
                <c:pt idx="56" formatCode="0.00">
                  <c:v>15.633923351067935</c:v>
                </c:pt>
                <c:pt idx="57" formatCode="0.00">
                  <c:v>15.268929970375389</c:v>
                </c:pt>
                <c:pt idx="58" formatCode="0.00">
                  <c:v>14.943931834755464</c:v>
                </c:pt>
                <c:pt idx="59" formatCode="0.00">
                  <c:v>14.640092885432004</c:v>
                </c:pt>
                <c:pt idx="60" formatCode="0.00">
                  <c:v>14.313801563523946</c:v>
                </c:pt>
                <c:pt idx="61" formatCode="0.00">
                  <c:v>14.102457409287364</c:v>
                </c:pt>
                <c:pt idx="62" formatCode="0.00">
                  <c:v>13.93426804724591</c:v>
                </c:pt>
                <c:pt idx="63" formatCode="0.00">
                  <c:v>13.765633837402461</c:v>
                </c:pt>
                <c:pt idx="64" formatCode="0.00">
                  <c:v>13.625280334067719</c:v>
                </c:pt>
                <c:pt idx="65" formatCode="0.00">
                  <c:v>13.479957092894436</c:v>
                </c:pt>
                <c:pt idx="66" formatCode="0.00">
                  <c:v>13.159285061624118</c:v>
                </c:pt>
                <c:pt idx="67" formatCode="0.00">
                  <c:v>12.9250351909951</c:v>
                </c:pt>
                <c:pt idx="68" formatCode="0.00">
                  <c:v>12.901141562653898</c:v>
                </c:pt>
                <c:pt idx="69" formatCode="0.00">
                  <c:v>12.867467888602029</c:v>
                </c:pt>
                <c:pt idx="70" formatCode="0.00">
                  <c:v>12.851615175046256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6-44F2-AB2B-953437D6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Sazonalidade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'RESIDENCIAL_COLETIVO Aditivo'!$H$7:$H$18</c:f>
              <c:strCache>
                <c:ptCount val="12"/>
                <c:pt idx="0">
                  <c:v>2.36</c:v>
                </c:pt>
                <c:pt idx="1">
                  <c:v>2.69</c:v>
                </c:pt>
                <c:pt idx="2">
                  <c:v>2.75</c:v>
                </c:pt>
                <c:pt idx="3">
                  <c:v>3.30</c:v>
                </c:pt>
                <c:pt idx="4">
                  <c:v>0.98</c:v>
                </c:pt>
                <c:pt idx="5">
                  <c:v>0.52</c:v>
                </c:pt>
                <c:pt idx="6">
                  <c:v>-1.04</c:v>
                </c:pt>
                <c:pt idx="7">
                  <c:v>-2.24</c:v>
                </c:pt>
                <c:pt idx="8">
                  <c:v>-3.55</c:v>
                </c:pt>
                <c:pt idx="9">
                  <c:v>-2.82</c:v>
                </c:pt>
                <c:pt idx="10">
                  <c:v>-1.37</c:v>
                </c:pt>
                <c:pt idx="11">
                  <c:v>-0.77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Aditivo'!$A$7:$A$84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Aditivo'!$H$19:$H$84</c:f>
              <c:numCache>
                <c:formatCode>0.00</c:formatCode>
                <c:ptCount val="66"/>
                <c:pt idx="0">
                  <c:v>2.2949891979365531</c:v>
                </c:pt>
                <c:pt idx="1">
                  <c:v>2.619262269200803</c:v>
                </c:pt>
                <c:pt idx="2">
                  <c:v>2.678911692076329</c:v>
                </c:pt>
                <c:pt idx="3">
                  <c:v>3.2343696104512185</c:v>
                </c:pt>
                <c:pt idx="4">
                  <c:v>0.91453636452370379</c:v>
                </c:pt>
                <c:pt idx="5">
                  <c:v>0.45524261959319773</c:v>
                </c:pt>
                <c:pt idx="6">
                  <c:v>-1.1071080411910701</c:v>
                </c:pt>
                <c:pt idx="7">
                  <c:v>-2.3065641588890928</c:v>
                </c:pt>
                <c:pt idx="8">
                  <c:v>-3.6166552093457391</c:v>
                </c:pt>
                <c:pt idx="9">
                  <c:v>-2.8848613933849006</c:v>
                </c:pt>
                <c:pt idx="10">
                  <c:v>-1.4396581674980171</c:v>
                </c:pt>
                <c:pt idx="11">
                  <c:v>-0.84246478347298803</c:v>
                </c:pt>
                <c:pt idx="12">
                  <c:v>2.2949891979365531</c:v>
                </c:pt>
                <c:pt idx="13">
                  <c:v>2.619262269200803</c:v>
                </c:pt>
                <c:pt idx="14">
                  <c:v>2.678911692076329</c:v>
                </c:pt>
                <c:pt idx="15">
                  <c:v>3.2343696104512185</c:v>
                </c:pt>
                <c:pt idx="16">
                  <c:v>0.91453636452370379</c:v>
                </c:pt>
                <c:pt idx="17">
                  <c:v>0.45524261959319773</c:v>
                </c:pt>
                <c:pt idx="18">
                  <c:v>-1.1071080411910701</c:v>
                </c:pt>
                <c:pt idx="19">
                  <c:v>-2.3065641588890928</c:v>
                </c:pt>
                <c:pt idx="20">
                  <c:v>-3.6166552093457391</c:v>
                </c:pt>
                <c:pt idx="21">
                  <c:v>-2.8848613933849006</c:v>
                </c:pt>
                <c:pt idx="22">
                  <c:v>-1.4396581674980171</c:v>
                </c:pt>
                <c:pt idx="23">
                  <c:v>-0.84246478347298803</c:v>
                </c:pt>
                <c:pt idx="24">
                  <c:v>2.2949891979365531</c:v>
                </c:pt>
                <c:pt idx="25">
                  <c:v>2.619262269200803</c:v>
                </c:pt>
                <c:pt idx="26">
                  <c:v>2.678911692076329</c:v>
                </c:pt>
                <c:pt idx="27">
                  <c:v>3.2343696104512185</c:v>
                </c:pt>
                <c:pt idx="28">
                  <c:v>0.91453636452370379</c:v>
                </c:pt>
                <c:pt idx="29">
                  <c:v>0.45524261959319773</c:v>
                </c:pt>
                <c:pt idx="30">
                  <c:v>-1.1071080411910701</c:v>
                </c:pt>
                <c:pt idx="31">
                  <c:v>-2.3065641588890928</c:v>
                </c:pt>
                <c:pt idx="32">
                  <c:v>-3.6166552093457391</c:v>
                </c:pt>
                <c:pt idx="33">
                  <c:v>-2.8848613933849006</c:v>
                </c:pt>
                <c:pt idx="34">
                  <c:v>-1.4396581674980171</c:v>
                </c:pt>
                <c:pt idx="35">
                  <c:v>-0.84246478347298803</c:v>
                </c:pt>
                <c:pt idx="36">
                  <c:v>2.2949891979365531</c:v>
                </c:pt>
                <c:pt idx="37">
                  <c:v>2.619262269200803</c:v>
                </c:pt>
                <c:pt idx="38">
                  <c:v>2.678911692076329</c:v>
                </c:pt>
                <c:pt idx="39">
                  <c:v>3.2343696104512185</c:v>
                </c:pt>
                <c:pt idx="40">
                  <c:v>0.91453636452370379</c:v>
                </c:pt>
                <c:pt idx="41">
                  <c:v>0.45524261959319773</c:v>
                </c:pt>
                <c:pt idx="42">
                  <c:v>-1.1071080411910701</c:v>
                </c:pt>
                <c:pt idx="43">
                  <c:v>-2.3065641588890928</c:v>
                </c:pt>
                <c:pt idx="44">
                  <c:v>-3.6166552093457391</c:v>
                </c:pt>
                <c:pt idx="45">
                  <c:v>-2.8848613933849006</c:v>
                </c:pt>
                <c:pt idx="46">
                  <c:v>-1.4396581674980171</c:v>
                </c:pt>
                <c:pt idx="47">
                  <c:v>-0.84246478347298803</c:v>
                </c:pt>
                <c:pt idx="48">
                  <c:v>2.2949891979365531</c:v>
                </c:pt>
                <c:pt idx="49">
                  <c:v>2.619262269200803</c:v>
                </c:pt>
                <c:pt idx="50">
                  <c:v>2.678911692076329</c:v>
                </c:pt>
                <c:pt idx="51">
                  <c:v>3.2343696104512185</c:v>
                </c:pt>
                <c:pt idx="52">
                  <c:v>0.91453636452370379</c:v>
                </c:pt>
                <c:pt idx="53">
                  <c:v>0.45524261959319773</c:v>
                </c:pt>
                <c:pt idx="54">
                  <c:v>-1.1071080411910701</c:v>
                </c:pt>
                <c:pt idx="55">
                  <c:v>-2.3065641588890928</c:v>
                </c:pt>
                <c:pt idx="56">
                  <c:v>-3.6166552093457391</c:v>
                </c:pt>
                <c:pt idx="57">
                  <c:v>-2.8848613933849006</c:v>
                </c:pt>
                <c:pt idx="58">
                  <c:v>-1.4396581674980171</c:v>
                </c:pt>
                <c:pt idx="59">
                  <c:v>-0.84246478347298803</c:v>
                </c:pt>
                <c:pt idx="60">
                  <c:v>2.2949891979365531</c:v>
                </c:pt>
                <c:pt idx="61">
                  <c:v>2.619262269200803</c:v>
                </c:pt>
                <c:pt idx="62">
                  <c:v>2.678911692076329</c:v>
                </c:pt>
                <c:pt idx="63">
                  <c:v>3.2343696104512185</c:v>
                </c:pt>
                <c:pt idx="64">
                  <c:v>0.91453636452370379</c:v>
                </c:pt>
                <c:pt idx="65">
                  <c:v>0.45524261959319773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6-44F2-AB2B-953437D6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At val="43252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Resíduos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'RESIDENCIAL_COLETIVO Aditivo'!$A$7:$A$84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xVal>
          <c:yVal>
            <c:numRef>
              <c:f>'RESIDENCIAL_COLETIVO Aditivo'!$I$7:$I$84</c:f>
              <c:numCache>
                <c:formatCode>General</c:formatCode>
                <c:ptCount val="78"/>
                <c:pt idx="5" formatCode="0.00">
                  <c:v>0.53328982862654206</c:v>
                </c:pt>
                <c:pt idx="6" formatCode="0.00">
                  <c:v>0.69154687694067873</c:v>
                </c:pt>
                <c:pt idx="7" formatCode="0.00">
                  <c:v>-0.3041031565945973</c:v>
                </c:pt>
                <c:pt idx="8" formatCode="0.00">
                  <c:v>-1.2938895212575185</c:v>
                </c:pt>
                <c:pt idx="9" formatCode="0.00">
                  <c:v>0.24109616556964042</c:v>
                </c:pt>
                <c:pt idx="10" formatCode="0.00">
                  <c:v>1.8104807603375479</c:v>
                </c:pt>
                <c:pt idx="11" formatCode="0.00">
                  <c:v>-3.1747681572057553</c:v>
                </c:pt>
                <c:pt idx="12" formatCode="0.00">
                  <c:v>-1.2765408786525732</c:v>
                </c:pt>
                <c:pt idx="13" formatCode="0.00">
                  <c:v>2.2331247676660837E-2</c:v>
                </c:pt>
                <c:pt idx="14" formatCode="0.00">
                  <c:v>0.59270829008034998</c:v>
                </c:pt>
                <c:pt idx="15" formatCode="0.00">
                  <c:v>0.88601616719054999</c:v>
                </c:pt>
                <c:pt idx="16" formatCode="0.00">
                  <c:v>0.24189611273497913</c:v>
                </c:pt>
                <c:pt idx="17" formatCode="0.00">
                  <c:v>-1.89066401244567</c:v>
                </c:pt>
                <c:pt idx="18" formatCode="0.00">
                  <c:v>1.2333903922596734</c:v>
                </c:pt>
                <c:pt idx="19" formatCode="0.00">
                  <c:v>0.32628965081122896</c:v>
                </c:pt>
                <c:pt idx="20" formatCode="0.00">
                  <c:v>-0.8395574885941115</c:v>
                </c:pt>
                <c:pt idx="21" formatCode="0.00">
                  <c:v>2.0730219341674125</c:v>
                </c:pt>
                <c:pt idx="22" formatCode="0.00">
                  <c:v>0.28095858482953617</c:v>
                </c:pt>
                <c:pt idx="23" formatCode="0.00">
                  <c:v>0.72106712564658493</c:v>
                </c:pt>
                <c:pt idx="24" formatCode="0.00">
                  <c:v>-4.4740433659176571E-2</c:v>
                </c:pt>
                <c:pt idx="25" formatCode="0.00">
                  <c:v>-0.45037429465675061</c:v>
                </c:pt>
                <c:pt idx="26" formatCode="0.00">
                  <c:v>-0.44935500078821899</c:v>
                </c:pt>
                <c:pt idx="27" formatCode="0.00">
                  <c:v>-0.10260771346099506</c:v>
                </c:pt>
                <c:pt idx="28" formatCode="0.00">
                  <c:v>-1.0968625621200463</c:v>
                </c:pt>
                <c:pt idx="29" formatCode="0.00">
                  <c:v>0.80937602394955954</c:v>
                </c:pt>
                <c:pt idx="30" formatCode="0.00">
                  <c:v>-0.40245577139179489</c:v>
                </c:pt>
                <c:pt idx="31" formatCode="0.00">
                  <c:v>-0.28325485941269068</c:v>
                </c:pt>
                <c:pt idx="32" formatCode="0.00">
                  <c:v>-0.51638234078082901</c:v>
                </c:pt>
                <c:pt idx="33" formatCode="0.00">
                  <c:v>-0.70019554908197534</c:v>
                </c:pt>
                <c:pt idx="34" formatCode="0.00">
                  <c:v>-0.50480470345088668</c:v>
                </c:pt>
                <c:pt idx="35" formatCode="0.00">
                  <c:v>1.3729996249882395</c:v>
                </c:pt>
                <c:pt idx="36" formatCode="0.00">
                  <c:v>1.1046194457423781</c:v>
                </c:pt>
                <c:pt idx="37" formatCode="0.00">
                  <c:v>6.1627983186685498E-2</c:v>
                </c:pt>
                <c:pt idx="38" formatCode="0.00">
                  <c:v>1.30690728730037</c:v>
                </c:pt>
                <c:pt idx="39" formatCode="0.00">
                  <c:v>-1.1273718193749227</c:v>
                </c:pt>
                <c:pt idx="40" formatCode="0.00">
                  <c:v>-0.26866971677380935</c:v>
                </c:pt>
                <c:pt idx="41" formatCode="0.00">
                  <c:v>0.75205960938603633</c:v>
                </c:pt>
                <c:pt idx="42" formatCode="0.00">
                  <c:v>-7.8947121881418614E-3</c:v>
                </c:pt>
                <c:pt idx="43" formatCode="0.00">
                  <c:v>0.61593153161057668</c:v>
                </c:pt>
                <c:pt idx="44" formatCode="0.00">
                  <c:v>0.41287190090564296</c:v>
                </c:pt>
                <c:pt idx="45" formatCode="0.00">
                  <c:v>-1.5806753782491292</c:v>
                </c:pt>
                <c:pt idx="46" formatCode="0.00">
                  <c:v>-1.0115851723178702</c:v>
                </c:pt>
                <c:pt idx="47" formatCode="0.00">
                  <c:v>0.72866562896429399</c:v>
                </c:pt>
                <c:pt idx="48" formatCode="0.00">
                  <c:v>0.18508635637835491</c:v>
                </c:pt>
                <c:pt idx="49" formatCode="0.00">
                  <c:v>-0.37333904240107429</c:v>
                </c:pt>
                <c:pt idx="50" formatCode="0.00">
                  <c:v>-1.1179698929616206</c:v>
                </c:pt>
                <c:pt idx="51" formatCode="0.00">
                  <c:v>0.87293891103086008</c:v>
                </c:pt>
                <c:pt idx="52" formatCode="0.00">
                  <c:v>2.0537159028817005</c:v>
                </c:pt>
                <c:pt idx="53" formatCode="0.00">
                  <c:v>0.10570086728906475</c:v>
                </c:pt>
                <c:pt idx="54" formatCode="0.00">
                  <c:v>0.37744037678412901</c:v>
                </c:pt>
                <c:pt idx="55" formatCode="0.00">
                  <c:v>0.11598554050690613</c:v>
                </c:pt>
                <c:pt idx="56" formatCode="0.00">
                  <c:v>0.88532770637072788</c:v>
                </c:pt>
                <c:pt idx="57" formatCode="0.00">
                  <c:v>1.2614776986742626E-2</c:v>
                </c:pt>
                <c:pt idx="58" formatCode="0.00">
                  <c:v>-0.19510501521552448</c:v>
                </c:pt>
                <c:pt idx="59" formatCode="0.00">
                  <c:v>0.62798532584125744</c:v>
                </c:pt>
                <c:pt idx="60" formatCode="0.00">
                  <c:v>0.37651244548429341</c:v>
                </c:pt>
                <c:pt idx="61" formatCode="0.00">
                  <c:v>1.0846910414877549</c:v>
                </c:pt>
                <c:pt idx="62" formatCode="0.00">
                  <c:v>1.264625166239508E-2</c:v>
                </c:pt>
                <c:pt idx="63" formatCode="0.00">
                  <c:v>-0.18403861009221689</c:v>
                </c:pt>
                <c:pt idx="64" formatCode="0.00">
                  <c:v>-0.585142801429548</c:v>
                </c:pt>
                <c:pt idx="65" formatCode="0.00">
                  <c:v>3.5174618487742892E-2</c:v>
                </c:pt>
                <c:pt idx="66" formatCode="0.00">
                  <c:v>-1.5470902271112676</c:v>
                </c:pt>
                <c:pt idx="67" formatCode="0.00">
                  <c:v>-0.12591177162814748</c:v>
                </c:pt>
                <c:pt idx="68" formatCode="0.00">
                  <c:v>1.6965666786493636</c:v>
                </c:pt>
                <c:pt idx="69" formatCode="0.00">
                  <c:v>0.29907498590058523</c:v>
                </c:pt>
                <c:pt idx="70" formatCode="0.00">
                  <c:v>-3.5007518889526912E-2</c:v>
                </c:pt>
                <c:pt idx="71" formatCode="0.00">
                  <c:v>13.83181329462268</c:v>
                </c:pt>
                <c:pt idx="72" formatCode="0.00">
                  <c:v>12.638821137500017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6-44F2-AB2B-953437D60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046815"/>
        <c:axId val="1791047775"/>
      </c:scatterChart>
      <c:valAx>
        <c:axId val="1791046815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791047775"/>
        <c:crosses val="autoZero"/>
        <c:crossBetween val="midCat"/>
      </c:valAx>
      <c:valAx>
        <c:axId val="1791047775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At val="4325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Aditivo'!$A$7:$A$84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Aditivo'!$D$7:$D$84</c:f>
              <c:numCache>
                <c:formatCode>0.00</c:formatCode>
                <c:ptCount val="78"/>
                <c:pt idx="0">
                  <c:v>20.887275913516248</c:v>
                </c:pt>
                <c:pt idx="1">
                  <c:v>19.982260205121012</c:v>
                </c:pt>
                <c:pt idx="2">
                  <c:v>20.984513940190347</c:v>
                </c:pt>
                <c:pt idx="3">
                  <c:v>20.632764648252859</c:v>
                </c:pt>
                <c:pt idx="4">
                  <c:v>19.149512198313371</c:v>
                </c:pt>
                <c:pt idx="5">
                  <c:v>18.265365086934725</c:v>
                </c:pt>
                <c:pt idx="6">
                  <c:v>16.723279134265056</c:v>
                </c:pt>
                <c:pt idx="7">
                  <c:v>14.4872187626087</c:v>
                </c:pt>
                <c:pt idx="8">
                  <c:v>12.186303695229311</c:v>
                </c:pt>
                <c:pt idx="9">
                  <c:v>14.446187980933997</c:v>
                </c:pt>
                <c:pt idx="10">
                  <c:v>17.335314682226688</c:v>
                </c:pt>
                <c:pt idx="11">
                  <c:v>12.890797714374566</c:v>
                </c:pt>
                <c:pt idx="12">
                  <c:v>17.933974029334507</c:v>
                </c:pt>
                <c:pt idx="13">
                  <c:v>19.623745924513809</c:v>
                </c:pt>
                <c:pt idx="14">
                  <c:v>20.360126930644107</c:v>
                </c:pt>
                <c:pt idx="15">
                  <c:v>21.232248003563409</c:v>
                </c:pt>
                <c:pt idx="16">
                  <c:v>18.384543633003339</c:v>
                </c:pt>
                <c:pt idx="17">
                  <c:v>16.019266787554418</c:v>
                </c:pt>
                <c:pt idx="18">
                  <c:v>17.614303009632948</c:v>
                </c:pt>
                <c:pt idx="19">
                  <c:v>15.431773496581732</c:v>
                </c:pt>
                <c:pt idx="20">
                  <c:v>12.840789703315892</c:v>
                </c:pt>
                <c:pt idx="21">
                  <c:v>16.344210953273461</c:v>
                </c:pt>
                <c:pt idx="22">
                  <c:v>15.997818368308378</c:v>
                </c:pt>
                <c:pt idx="23">
                  <c:v>17.018268344045161</c:v>
                </c:pt>
                <c:pt idx="24">
                  <c:v>19.244351991557583</c:v>
                </c:pt>
                <c:pt idx="25">
                  <c:v>19.113347438069635</c:v>
                </c:pt>
                <c:pt idx="26">
                  <c:v>19.047181723374287</c:v>
                </c:pt>
                <c:pt idx="27">
                  <c:v>19.784098729140762</c:v>
                </c:pt>
                <c:pt idx="28">
                  <c:v>16.449845177070966</c:v>
                </c:pt>
                <c:pt idx="29">
                  <c:v>17.965186167148612</c:v>
                </c:pt>
                <c:pt idx="30">
                  <c:v>15.263936851511687</c:v>
                </c:pt>
                <c:pt idx="31">
                  <c:v>14.288633064510455</c:v>
                </c:pt>
                <c:pt idx="32">
                  <c:v>12.792479805276185</c:v>
                </c:pt>
                <c:pt idx="33">
                  <c:v>13.348494496767417</c:v>
                </c:pt>
                <c:pt idx="34">
                  <c:v>15.026618026359088</c:v>
                </c:pt>
                <c:pt idx="35">
                  <c:v>17.505497706396838</c:v>
                </c:pt>
                <c:pt idx="36">
                  <c:v>20.398630203731074</c:v>
                </c:pt>
                <c:pt idx="37">
                  <c:v>19.709464597624802</c:v>
                </c:pt>
                <c:pt idx="38">
                  <c:v>20.969898613043572</c:v>
                </c:pt>
                <c:pt idx="39">
                  <c:v>18.990948381643904</c:v>
                </c:pt>
                <c:pt idx="40">
                  <c:v>17.435813536524766</c:v>
                </c:pt>
                <c:pt idx="41">
                  <c:v>17.87992480146367</c:v>
                </c:pt>
                <c:pt idx="42">
                  <c:v>15.442365438962856</c:v>
                </c:pt>
                <c:pt idx="43">
                  <c:v>14.687613161152607</c:v>
                </c:pt>
                <c:pt idx="44">
                  <c:v>13.102766553078181</c:v>
                </c:pt>
                <c:pt idx="45">
                  <c:v>11.970334671274907</c:v>
                </c:pt>
                <c:pt idx="46">
                  <c:v>14.001680817469174</c:v>
                </c:pt>
                <c:pt idx="47">
                  <c:v>16.2743460722611</c:v>
                </c:pt>
                <c:pt idx="48">
                  <c:v>18.813998246896269</c:v>
                </c:pt>
                <c:pt idx="49">
                  <c:v>18.527991431042864</c:v>
                </c:pt>
                <c:pt idx="50">
                  <c:v>17.85243408576272</c:v>
                </c:pt>
                <c:pt idx="51">
                  <c:v>20.387710663016552</c:v>
                </c:pt>
                <c:pt idx="52">
                  <c:v>19.142769208527874</c:v>
                </c:pt>
                <c:pt idx="53">
                  <c:v>16.582234274487554</c:v>
                </c:pt>
                <c:pt idx="54">
                  <c:v>15.185361633572585</c:v>
                </c:pt>
                <c:pt idx="55">
                  <c:v>13.643276146020463</c:v>
                </c:pt>
                <c:pt idx="56">
                  <c:v>12.902595848092924</c:v>
                </c:pt>
                <c:pt idx="57">
                  <c:v>12.396683353977231</c:v>
                </c:pt>
                <c:pt idx="58">
                  <c:v>13.309168652041922</c:v>
                </c:pt>
                <c:pt idx="59">
                  <c:v>14.425613427800274</c:v>
                </c:pt>
                <c:pt idx="60">
                  <c:v>16.985303206944792</c:v>
                </c:pt>
                <c:pt idx="61">
                  <c:v>17.806410719975922</c:v>
                </c:pt>
                <c:pt idx="62">
                  <c:v>16.625825990984634</c:v>
                </c:pt>
                <c:pt idx="63">
                  <c:v>16.815964837761463</c:v>
                </c:pt>
                <c:pt idx="64">
                  <c:v>13.954673897161875</c:v>
                </c:pt>
                <c:pt idx="65">
                  <c:v>13.970374330975377</c:v>
                </c:pt>
                <c:pt idx="66">
                  <c:v>10.50508679332178</c:v>
                </c:pt>
                <c:pt idx="67">
                  <c:v>10.49255926047786</c:v>
                </c:pt>
                <c:pt idx="68">
                  <c:v>10.981053031957522</c:v>
                </c:pt>
                <c:pt idx="69">
                  <c:v>10.281681481117714</c:v>
                </c:pt>
                <c:pt idx="70">
                  <c:v>11.376949488658711</c:v>
                </c:pt>
                <c:pt idx="71">
                  <c:v>12.989348511149693</c:v>
                </c:pt>
                <c:pt idx="72">
                  <c:v>14.93381033543657</c:v>
                </c:pt>
                <c:pt idx="73">
                  <c:v>12.161774840996561</c:v>
                </c:pt>
                <c:pt idx="74">
                  <c:v>16.648464974867519</c:v>
                </c:pt>
                <c:pt idx="75">
                  <c:v>16.219878773689736</c:v>
                </c:pt>
                <c:pt idx="76">
                  <c:v>13.742591783988734</c:v>
                </c:pt>
                <c:pt idx="77">
                  <c:v>13.801991318809963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E-4103-988B-B75D632BB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Tendência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Multip'!$A$7:$A$84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Multip'!$F$7:$F$84</c:f>
              <c:numCache>
                <c:formatCode>General</c:formatCode>
                <c:ptCount val="78"/>
                <c:pt idx="5" formatCode="0.00">
                  <c:v>17.20784525165633</c:v>
                </c:pt>
                <c:pt idx="6" formatCode="0.00">
                  <c:v>17.069852911456792</c:v>
                </c:pt>
                <c:pt idx="7" formatCode="0.00">
                  <c:v>17.028898691033735</c:v>
                </c:pt>
                <c:pt idx="8" formatCode="0.00">
                  <c:v>17.027861038773914</c:v>
                </c:pt>
                <c:pt idx="9" formatCode="0.00">
                  <c:v>17.020965821690602</c:v>
                </c:pt>
                <c:pt idx="10" formatCode="0.00">
                  <c:v>16.895504702328502</c:v>
                </c:pt>
                <c:pt idx="11" formatCode="0.00">
                  <c:v>16.839043267994654</c:v>
                </c:pt>
                <c:pt idx="12" formatCode="0.00">
                  <c:v>16.915525710050527</c:v>
                </c:pt>
                <c:pt idx="13" formatCode="0.00">
                  <c:v>16.982152407636345</c:v>
                </c:pt>
                <c:pt idx="14" formatCode="0.00">
                  <c:v>17.088506948487428</c:v>
                </c:pt>
                <c:pt idx="15" formatCode="0.00">
                  <c:v>17.111862225921641</c:v>
                </c:pt>
                <c:pt idx="16" formatCode="0.00">
                  <c:v>17.228111155744656</c:v>
                </c:pt>
                <c:pt idx="17" formatCode="0.00">
                  <c:v>17.45468818040689</c:v>
                </c:pt>
                <c:pt idx="18" formatCode="0.00">
                  <c:v>17.488020658564345</c:v>
                </c:pt>
                <c:pt idx="19" formatCode="0.00">
                  <c:v>17.412048004659596</c:v>
                </c:pt>
                <c:pt idx="20" formatCode="0.00">
                  <c:v>17.297002401255742</c:v>
                </c:pt>
                <c:pt idx="21" formatCode="0.00">
                  <c:v>17.156050412490949</c:v>
                </c:pt>
                <c:pt idx="22" formatCode="0.00">
                  <c:v>17.156517950976859</c:v>
                </c:pt>
                <c:pt idx="23" formatCode="0.00">
                  <c:v>17.139666001871564</c:v>
                </c:pt>
                <c:pt idx="24" formatCode="0.00">
                  <c:v>16.994103227280206</c:v>
                </c:pt>
                <c:pt idx="25" formatCode="0.00">
                  <c:v>16.944459463525583</c:v>
                </c:pt>
                <c:pt idx="26" formatCode="0.00">
                  <c:v>16.817625032086177</c:v>
                </c:pt>
                <c:pt idx="27" formatCode="0.00">
                  <c:v>16.652336832150539</c:v>
                </c:pt>
                <c:pt idx="28" formatCode="0.00">
                  <c:v>16.632171374667308</c:v>
                </c:pt>
                <c:pt idx="29" formatCode="0.00">
                  <c:v>16.700567523605855</c:v>
                </c:pt>
                <c:pt idx="30" formatCode="0.00">
                  <c:v>16.773500664094552</c:v>
                </c:pt>
                <c:pt idx="31" formatCode="0.00">
                  <c:v>16.878452082812238</c:v>
                </c:pt>
                <c:pt idx="32" formatCode="0.00">
                  <c:v>16.925517355402754</c:v>
                </c:pt>
                <c:pt idx="33" formatCode="0.00">
                  <c:v>16.933551439234293</c:v>
                </c:pt>
                <c:pt idx="34" formatCode="0.00">
                  <c:v>16.971080897307992</c:v>
                </c:pt>
                <c:pt idx="35" formatCode="0.00">
                  <c:v>16.974962864881586</c:v>
                </c:pt>
                <c:pt idx="36" formatCode="0.00">
                  <c:v>16.999021560052142</c:v>
                </c:pt>
                <c:pt idx="37" formatCode="0.00">
                  <c:v>17.028574345237313</c:v>
                </c:pt>
                <c:pt idx="38" formatCode="0.00">
                  <c:v>16.984079633666873</c:v>
                </c:pt>
                <c:pt idx="39" formatCode="0.00">
                  <c:v>16.883950590567608</c:v>
                </c:pt>
                <c:pt idx="40" formatCode="0.00">
                  <c:v>16.789946888774871</c:v>
                </c:pt>
                <c:pt idx="41" formatCode="0.00">
                  <c:v>16.672622572484435</c:v>
                </c:pt>
                <c:pt idx="42" formatCode="0.00">
                  <c:v>16.557368192342068</c:v>
                </c:pt>
                <c:pt idx="43" formatCode="0.00">
                  <c:v>16.378245788431123</c:v>
                </c:pt>
                <c:pt idx="44" formatCode="0.00">
                  <c:v>16.306549861518278</c:v>
                </c:pt>
                <c:pt idx="45" formatCode="0.00">
                  <c:v>16.435871442908937</c:v>
                </c:pt>
                <c:pt idx="46" formatCode="0.00">
                  <c:v>16.452924157285061</c:v>
                </c:pt>
                <c:pt idx="47" formatCode="0.00">
                  <c:v>16.388145226769794</c:v>
                </c:pt>
                <c:pt idx="48" formatCode="0.00">
                  <c:v>16.333922692581361</c:v>
                </c:pt>
                <c:pt idx="49" formatCode="0.00">
                  <c:v>16.282068204243135</c:v>
                </c:pt>
                <c:pt idx="50" formatCode="0.00">
                  <c:v>16.291492286648012</c:v>
                </c:pt>
                <c:pt idx="51" formatCode="0.00">
                  <c:v>16.280402141534474</c:v>
                </c:pt>
                <c:pt idx="52" formatCode="0.00">
                  <c:v>16.174516941122469</c:v>
                </c:pt>
                <c:pt idx="53" formatCode="0.00">
                  <c:v>16.021290787605292</c:v>
                </c:pt>
                <c:pt idx="54" formatCode="0.00">
                  <c:v>15.915029297979526</c:v>
                </c:pt>
                <c:pt idx="55" formatCode="0.00">
                  <c:v>15.83385476440265</c:v>
                </c:pt>
                <c:pt idx="56" formatCode="0.00">
                  <c:v>15.633923351067935</c:v>
                </c:pt>
                <c:pt idx="57" formatCode="0.00">
                  <c:v>15.268929970375389</c:v>
                </c:pt>
                <c:pt idx="58" formatCode="0.00">
                  <c:v>14.943931834755464</c:v>
                </c:pt>
                <c:pt idx="59" formatCode="0.00">
                  <c:v>14.640092885432004</c:v>
                </c:pt>
                <c:pt idx="60" formatCode="0.00">
                  <c:v>14.313801563523946</c:v>
                </c:pt>
                <c:pt idx="61" formatCode="0.00">
                  <c:v>14.102457409287364</c:v>
                </c:pt>
                <c:pt idx="62" formatCode="0.00">
                  <c:v>13.93426804724591</c:v>
                </c:pt>
                <c:pt idx="63" formatCode="0.00">
                  <c:v>13.765633837402461</c:v>
                </c:pt>
                <c:pt idx="64" formatCode="0.00">
                  <c:v>13.625280334067719</c:v>
                </c:pt>
                <c:pt idx="65" formatCode="0.00">
                  <c:v>13.479957092894436</c:v>
                </c:pt>
                <c:pt idx="66" formatCode="0.00">
                  <c:v>13.159285061624118</c:v>
                </c:pt>
                <c:pt idx="67" formatCode="0.00">
                  <c:v>12.9250351909951</c:v>
                </c:pt>
                <c:pt idx="68" formatCode="0.00">
                  <c:v>12.901141562653898</c:v>
                </c:pt>
                <c:pt idx="69" formatCode="0.00">
                  <c:v>12.867467888602029</c:v>
                </c:pt>
                <c:pt idx="70" formatCode="0.00">
                  <c:v>12.851615175046256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9-49FA-B3F9-F2F7DC5C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Sazonalidade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'RESIDENCIAL_COLETIVO Multip'!$H$7:$H$18</c:f>
              <c:strCache>
                <c:ptCount val="12"/>
                <c:pt idx="0">
                  <c:v>1.15</c:v>
                </c:pt>
                <c:pt idx="1">
                  <c:v>1.17</c:v>
                </c:pt>
                <c:pt idx="2">
                  <c:v>1.17</c:v>
                </c:pt>
                <c:pt idx="3">
                  <c:v>1.21</c:v>
                </c:pt>
                <c:pt idx="4">
                  <c:v>1.06</c:v>
                </c:pt>
                <c:pt idx="5">
                  <c:v>1.03</c:v>
                </c:pt>
                <c:pt idx="6">
                  <c:v>0.93</c:v>
                </c:pt>
                <c:pt idx="7">
                  <c:v>0.86</c:v>
                </c:pt>
                <c:pt idx="8">
                  <c:v>0.78</c:v>
                </c:pt>
                <c:pt idx="9">
                  <c:v>0.82</c:v>
                </c:pt>
                <c:pt idx="10">
                  <c:v>0.91</c:v>
                </c:pt>
                <c:pt idx="11">
                  <c:v>0.95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Multip'!$A$7:$A$84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Multip'!$H$19:$H$84</c:f>
              <c:numCache>
                <c:formatCode>0.00</c:formatCode>
                <c:ptCount val="66"/>
                <c:pt idx="0">
                  <c:v>1.1422490851356175</c:v>
                </c:pt>
                <c:pt idx="1">
                  <c:v>1.1642698445074062</c:v>
                </c:pt>
                <c:pt idx="2">
                  <c:v>1.1654872148998114</c:v>
                </c:pt>
                <c:pt idx="3">
                  <c:v>1.2013325247023252</c:v>
                </c:pt>
                <c:pt idx="4">
                  <c:v>1.0567929840268442</c:v>
                </c:pt>
                <c:pt idx="5">
                  <c:v>1.0295483749607743</c:v>
                </c:pt>
                <c:pt idx="6">
                  <c:v>0.92711850722764078</c:v>
                </c:pt>
                <c:pt idx="7">
                  <c:v>0.85599376299809915</c:v>
                </c:pt>
                <c:pt idx="8">
                  <c:v>0.77959887959335428</c:v>
                </c:pt>
                <c:pt idx="9">
                  <c:v>0.81864544411868245</c:v>
                </c:pt>
                <c:pt idx="10">
                  <c:v>0.90864294592019912</c:v>
                </c:pt>
                <c:pt idx="11">
                  <c:v>0.95032043190924498</c:v>
                </c:pt>
                <c:pt idx="12">
                  <c:v>1.1422490851356175</c:v>
                </c:pt>
                <c:pt idx="13">
                  <c:v>1.1642698445074062</c:v>
                </c:pt>
                <c:pt idx="14">
                  <c:v>1.1654872148998114</c:v>
                </c:pt>
                <c:pt idx="15">
                  <c:v>1.2013325247023252</c:v>
                </c:pt>
                <c:pt idx="16">
                  <c:v>1.0567929840268442</c:v>
                </c:pt>
                <c:pt idx="17">
                  <c:v>1.0295483749607743</c:v>
                </c:pt>
                <c:pt idx="18">
                  <c:v>0.92711850722764078</c:v>
                </c:pt>
                <c:pt idx="19">
                  <c:v>0.85599376299809915</c:v>
                </c:pt>
                <c:pt idx="20">
                  <c:v>0.77959887959335428</c:v>
                </c:pt>
                <c:pt idx="21">
                  <c:v>0.81864544411868245</c:v>
                </c:pt>
                <c:pt idx="22">
                  <c:v>0.90864294592019912</c:v>
                </c:pt>
                <c:pt idx="23">
                  <c:v>0.95032043190924498</c:v>
                </c:pt>
                <c:pt idx="24">
                  <c:v>1.1422490851356175</c:v>
                </c:pt>
                <c:pt idx="25">
                  <c:v>1.1642698445074062</c:v>
                </c:pt>
                <c:pt idx="26">
                  <c:v>1.1654872148998114</c:v>
                </c:pt>
                <c:pt idx="27">
                  <c:v>1.2013325247023252</c:v>
                </c:pt>
                <c:pt idx="28">
                  <c:v>1.0567929840268442</c:v>
                </c:pt>
                <c:pt idx="29">
                  <c:v>1.0295483749607743</c:v>
                </c:pt>
                <c:pt idx="30">
                  <c:v>0.92711850722764078</c:v>
                </c:pt>
                <c:pt idx="31">
                  <c:v>0.85599376299809915</c:v>
                </c:pt>
                <c:pt idx="32">
                  <c:v>0.77959887959335428</c:v>
                </c:pt>
                <c:pt idx="33">
                  <c:v>0.81864544411868245</c:v>
                </c:pt>
                <c:pt idx="34">
                  <c:v>0.90864294592019912</c:v>
                </c:pt>
                <c:pt idx="35">
                  <c:v>0.95032043190924498</c:v>
                </c:pt>
                <c:pt idx="36">
                  <c:v>1.1422490851356175</c:v>
                </c:pt>
                <c:pt idx="37">
                  <c:v>1.1642698445074062</c:v>
                </c:pt>
                <c:pt idx="38">
                  <c:v>1.1654872148998114</c:v>
                </c:pt>
                <c:pt idx="39">
                  <c:v>1.2013325247023252</c:v>
                </c:pt>
                <c:pt idx="40">
                  <c:v>1.0567929840268442</c:v>
                </c:pt>
                <c:pt idx="41">
                  <c:v>1.0295483749607743</c:v>
                </c:pt>
                <c:pt idx="42">
                  <c:v>0.92711850722764078</c:v>
                </c:pt>
                <c:pt idx="43">
                  <c:v>0.85599376299809915</c:v>
                </c:pt>
                <c:pt idx="44">
                  <c:v>0.77959887959335428</c:v>
                </c:pt>
                <c:pt idx="45">
                  <c:v>0.81864544411868245</c:v>
                </c:pt>
                <c:pt idx="46">
                  <c:v>0.90864294592019912</c:v>
                </c:pt>
                <c:pt idx="47">
                  <c:v>0.95032043190924498</c:v>
                </c:pt>
                <c:pt idx="48">
                  <c:v>1.1422490851356175</c:v>
                </c:pt>
                <c:pt idx="49">
                  <c:v>1.1642698445074062</c:v>
                </c:pt>
                <c:pt idx="50">
                  <c:v>1.1654872148998114</c:v>
                </c:pt>
                <c:pt idx="51">
                  <c:v>1.2013325247023252</c:v>
                </c:pt>
                <c:pt idx="52">
                  <c:v>1.0567929840268442</c:v>
                </c:pt>
                <c:pt idx="53">
                  <c:v>1.0295483749607743</c:v>
                </c:pt>
                <c:pt idx="54">
                  <c:v>0.92711850722764078</c:v>
                </c:pt>
                <c:pt idx="55">
                  <c:v>0.85599376299809915</c:v>
                </c:pt>
                <c:pt idx="56">
                  <c:v>0.77959887959335428</c:v>
                </c:pt>
                <c:pt idx="57">
                  <c:v>0.81864544411868245</c:v>
                </c:pt>
                <c:pt idx="58">
                  <c:v>0.90864294592019912</c:v>
                </c:pt>
                <c:pt idx="59">
                  <c:v>0.95032043190924498</c:v>
                </c:pt>
                <c:pt idx="60">
                  <c:v>1.1422490851356175</c:v>
                </c:pt>
                <c:pt idx="61">
                  <c:v>1.1642698445074062</c:v>
                </c:pt>
                <c:pt idx="62">
                  <c:v>1.1654872148998114</c:v>
                </c:pt>
                <c:pt idx="63">
                  <c:v>1.2013325247023252</c:v>
                </c:pt>
                <c:pt idx="64">
                  <c:v>1.0567929840268442</c:v>
                </c:pt>
                <c:pt idx="65">
                  <c:v>1.0295483749607743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5-431F-9B5D-1AF11F7A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At val="43252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Resíduos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'RESIDENCIAL_COLETIVO Multip'!$A$7:$A$84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xVal>
          <c:yVal>
            <c:numRef>
              <c:f>'RESIDENCIAL_COLETIVO Multip'!$I$7:$I$84</c:f>
              <c:numCache>
                <c:formatCode>General</c:formatCode>
                <c:ptCount val="78"/>
                <c:pt idx="5" formatCode="0.00">
                  <c:v>1.0274227114896248</c:v>
                </c:pt>
                <c:pt idx="6" formatCode="0.00">
                  <c:v>1.0530535657220366</c:v>
                </c:pt>
                <c:pt idx="7" formatCode="0.00">
                  <c:v>0.99042571990426398</c:v>
                </c:pt>
                <c:pt idx="8" formatCode="0.00">
                  <c:v>0.91481809658839186</c:v>
                </c:pt>
                <c:pt idx="9" formatCode="0.00">
                  <c:v>1.0331592458979377</c:v>
                </c:pt>
                <c:pt idx="10" formatCode="0.00">
                  <c:v>1.1252819546459558</c:v>
                </c:pt>
                <c:pt idx="11" formatCode="0.00">
                  <c:v>0.80276118898625526</c:v>
                </c:pt>
                <c:pt idx="12" formatCode="0.00">
                  <c:v>0.92817575088970006</c:v>
                </c:pt>
                <c:pt idx="13" formatCode="0.00">
                  <c:v>0.99251145778106975</c:v>
                </c:pt>
                <c:pt idx="14" formatCode="0.00">
                  <c:v>1.0222776079118021</c:v>
                </c:pt>
                <c:pt idx="15" formatCode="0.00">
                  <c:v>1.0328457532487412</c:v>
                </c:pt>
                <c:pt idx="16" formatCode="0.00">
                  <c:v>1.0097765180625931</c:v>
                </c:pt>
                <c:pt idx="17" formatCode="0.00">
                  <c:v>0.8914228906647611</c:v>
                </c:pt>
                <c:pt idx="18" formatCode="0.00">
                  <c:v>1.0863994943108251</c:v>
                </c:pt>
                <c:pt idx="19" formatCode="0.00">
                  <c:v>1.0353695399174649</c:v>
                </c:pt>
                <c:pt idx="20" formatCode="0.00">
                  <c:v>0.95224714990694914</c:v>
                </c:pt>
                <c:pt idx="21" formatCode="0.00">
                  <c:v>1.1637261571029138</c:v>
                </c:pt>
                <c:pt idx="22" formatCode="0.00">
                  <c:v>1.0262149880834954</c:v>
                </c:pt>
                <c:pt idx="23" formatCode="0.00">
                  <c:v>1.0448235333568754</c:v>
                </c:pt>
                <c:pt idx="24" formatCode="0.00">
                  <c:v>0.99138928561498485</c:v>
                </c:pt>
                <c:pt idx="25" formatCode="0.00">
                  <c:v>0.96884741789429907</c:v>
                </c:pt>
                <c:pt idx="26" formatCode="0.00">
                  <c:v>0.97175894355171921</c:v>
                </c:pt>
                <c:pt idx="27" formatCode="0.00">
                  <c:v>0.98895800112261245</c:v>
                </c:pt>
                <c:pt idx="28" formatCode="0.00">
                  <c:v>0.93588598174890436</c:v>
                </c:pt>
                <c:pt idx="29" formatCode="0.00">
                  <c:v>1.0448494894541103</c:v>
                </c:pt>
                <c:pt idx="30" formatCode="0.00">
                  <c:v>0.98153908928866429</c:v>
                </c:pt>
                <c:pt idx="31" formatCode="0.00">
                  <c:v>0.98897990700253402</c:v>
                </c:pt>
                <c:pt idx="32" formatCode="0.00">
                  <c:v>0.96948608777909229</c:v>
                </c:pt>
                <c:pt idx="33" formatCode="0.00">
                  <c:v>0.96291596248104205</c:v>
                </c:pt>
                <c:pt idx="34" formatCode="0.00">
                  <c:v>0.97444758551382915</c:v>
                </c:pt>
                <c:pt idx="35" formatCode="0.00">
                  <c:v>1.0851644636981159</c:v>
                </c:pt>
                <c:pt idx="36" formatCode="0.00">
                  <c:v>1.0505488733161739</c:v>
                </c:pt>
                <c:pt idx="37" formatCode="0.00">
                  <c:v>0.994129332433076</c:v>
                </c:pt>
                <c:pt idx="38" formatCode="0.00">
                  <c:v>1.0593678762730734</c:v>
                </c:pt>
                <c:pt idx="39" formatCode="0.00">
                  <c:v>0.93628775912395079</c:v>
                </c:pt>
                <c:pt idx="40" formatCode="0.00">
                  <c:v>0.98265930785302458</c:v>
                </c:pt>
                <c:pt idx="41" formatCode="0.00">
                  <c:v>1.041633674517414</c:v>
                </c:pt>
                <c:pt idx="42" formatCode="0.00">
                  <c:v>1.0059751868345053</c:v>
                </c:pt>
                <c:pt idx="43" formatCode="0.00">
                  <c:v>1.047642820404187</c:v>
                </c:pt>
                <c:pt idx="44" formatCode="0.00">
                  <c:v>1.0306939204527159</c:v>
                </c:pt>
                <c:pt idx="45" formatCode="0.00">
                  <c:v>0.88964697794690228</c:v>
                </c:pt>
                <c:pt idx="46" formatCode="0.00">
                  <c:v>0.93657771109116927</c:v>
                </c:pt>
                <c:pt idx="47" formatCode="0.00">
                  <c:v>1.0449696484901267</c:v>
                </c:pt>
                <c:pt idx="48" formatCode="0.00">
                  <c:v>1.0083929124829112</c:v>
                </c:pt>
                <c:pt idx="49" formatCode="0.00">
                  <c:v>0.97738376879635092</c:v>
                </c:pt>
                <c:pt idx="50" formatCode="0.00">
                  <c:v>0.9402190739512557</c:v>
                </c:pt>
                <c:pt idx="51" formatCode="0.00">
                  <c:v>1.0424136703430975</c:v>
                </c:pt>
                <c:pt idx="52" formatCode="0.00">
                  <c:v>1.1199110321558812</c:v>
                </c:pt>
                <c:pt idx="53" formatCode="0.00">
                  <c:v>1.0053071842309378</c:v>
                </c:pt>
                <c:pt idx="54" formatCode="0.00">
                  <c:v>1.0291589279300539</c:v>
                </c:pt>
                <c:pt idx="55" formatCode="0.00">
                  <c:v>1.0066103978680077</c:v>
                </c:pt>
                <c:pt idx="56" formatCode="0.00">
                  <c:v>1.0586146729789834</c:v>
                </c:pt>
                <c:pt idx="57" formatCode="0.00">
                  <c:v>0.99174736611075176</c:v>
                </c:pt>
                <c:pt idx="58" formatCode="0.00">
                  <c:v>0.98015055721552224</c:v>
                </c:pt>
                <c:pt idx="59" formatCode="0.00">
                  <c:v>1.0368606458277818</c:v>
                </c:pt>
                <c:pt idx="60" formatCode="0.00">
                  <c:v>1.0388611200693199</c:v>
                </c:pt>
                <c:pt idx="61" formatCode="0.00">
                  <c:v>1.084495965468294</c:v>
                </c:pt>
                <c:pt idx="62" formatCode="0.00">
                  <c:v>1.0237444406852387</c:v>
                </c:pt>
                <c:pt idx="63" formatCode="0.00">
                  <c:v>1.0168627585346868</c:v>
                </c:pt>
                <c:pt idx="64" formatCode="0.00">
                  <c:v>0.96913510255268509</c:v>
                </c:pt>
                <c:pt idx="65" formatCode="0.00">
                  <c:v>1.0066367368016673</c:v>
                </c:pt>
                <c:pt idx="66" formatCode="0.00">
                  <c:v>0.86105739203257425</c:v>
                </c:pt>
                <c:pt idx="67" formatCode="0.00">
                  <c:v>0.94837281438562537</c:v>
                </c:pt>
                <c:pt idx="68" formatCode="0.00">
                  <c:v>1.0918039015448926</c:v>
                </c:pt>
                <c:pt idx="69" formatCode="0.00">
                  <c:v>0.97605705125916342</c:v>
                </c:pt>
                <c:pt idx="70" formatCode="0.00">
                  <c:v>0.97425996786938163</c:v>
                </c:pt>
                <c:pt idx="71" formatCode="0.00">
                  <c:v>0</c:v>
                </c:pt>
                <c:pt idx="7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D-4CF5-8DD3-5EF8A31F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046815"/>
        <c:axId val="1791047775"/>
      </c:scatterChart>
      <c:valAx>
        <c:axId val="1791046815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791047775"/>
        <c:crosses val="autoZero"/>
        <c:crossBetween val="midCat"/>
      </c:valAx>
      <c:valAx>
        <c:axId val="1791047775"/>
        <c:scaling>
          <c:orientation val="minMax"/>
          <c:max val="1.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At val="4325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Multip'!$A$7:$A$84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Multip'!$D$7:$D$84</c:f>
              <c:numCache>
                <c:formatCode>0.00</c:formatCode>
                <c:ptCount val="78"/>
                <c:pt idx="0">
                  <c:v>20.887275913516248</c:v>
                </c:pt>
                <c:pt idx="1">
                  <c:v>19.982260205121012</c:v>
                </c:pt>
                <c:pt idx="2">
                  <c:v>20.984513940190347</c:v>
                </c:pt>
                <c:pt idx="3">
                  <c:v>20.632764648252859</c:v>
                </c:pt>
                <c:pt idx="4">
                  <c:v>19.149512198313371</c:v>
                </c:pt>
                <c:pt idx="5">
                  <c:v>18.265365086934725</c:v>
                </c:pt>
                <c:pt idx="6">
                  <c:v>16.723279134265056</c:v>
                </c:pt>
                <c:pt idx="7">
                  <c:v>14.4872187626087</c:v>
                </c:pt>
                <c:pt idx="8">
                  <c:v>12.186303695229311</c:v>
                </c:pt>
                <c:pt idx="9">
                  <c:v>14.446187980933997</c:v>
                </c:pt>
                <c:pt idx="10">
                  <c:v>17.335314682226688</c:v>
                </c:pt>
                <c:pt idx="11">
                  <c:v>12.890797714374566</c:v>
                </c:pt>
                <c:pt idx="12">
                  <c:v>17.933974029334507</c:v>
                </c:pt>
                <c:pt idx="13">
                  <c:v>19.623745924513809</c:v>
                </c:pt>
                <c:pt idx="14">
                  <c:v>20.360126930644107</c:v>
                </c:pt>
                <c:pt idx="15">
                  <c:v>21.232248003563409</c:v>
                </c:pt>
                <c:pt idx="16">
                  <c:v>18.384543633003339</c:v>
                </c:pt>
                <c:pt idx="17">
                  <c:v>16.019266787554418</c:v>
                </c:pt>
                <c:pt idx="18">
                  <c:v>17.614303009632948</c:v>
                </c:pt>
                <c:pt idx="19">
                  <c:v>15.431773496581732</c:v>
                </c:pt>
                <c:pt idx="20">
                  <c:v>12.840789703315892</c:v>
                </c:pt>
                <c:pt idx="21">
                  <c:v>16.344210953273461</c:v>
                </c:pt>
                <c:pt idx="22">
                  <c:v>15.997818368308378</c:v>
                </c:pt>
                <c:pt idx="23">
                  <c:v>17.018268344045161</c:v>
                </c:pt>
                <c:pt idx="24">
                  <c:v>19.244351991557583</c:v>
                </c:pt>
                <c:pt idx="25">
                  <c:v>19.113347438069635</c:v>
                </c:pt>
                <c:pt idx="26">
                  <c:v>19.047181723374287</c:v>
                </c:pt>
                <c:pt idx="27">
                  <c:v>19.784098729140762</c:v>
                </c:pt>
                <c:pt idx="28">
                  <c:v>16.449845177070966</c:v>
                </c:pt>
                <c:pt idx="29">
                  <c:v>17.965186167148612</c:v>
                </c:pt>
                <c:pt idx="30">
                  <c:v>15.263936851511687</c:v>
                </c:pt>
                <c:pt idx="31">
                  <c:v>14.288633064510455</c:v>
                </c:pt>
                <c:pt idx="32">
                  <c:v>12.792479805276185</c:v>
                </c:pt>
                <c:pt idx="33">
                  <c:v>13.348494496767417</c:v>
                </c:pt>
                <c:pt idx="34">
                  <c:v>15.026618026359088</c:v>
                </c:pt>
                <c:pt idx="35">
                  <c:v>17.505497706396838</c:v>
                </c:pt>
                <c:pt idx="36">
                  <c:v>20.398630203731074</c:v>
                </c:pt>
                <c:pt idx="37">
                  <c:v>19.709464597624802</c:v>
                </c:pt>
                <c:pt idx="38">
                  <c:v>20.969898613043572</c:v>
                </c:pt>
                <c:pt idx="39">
                  <c:v>18.990948381643904</c:v>
                </c:pt>
                <c:pt idx="40">
                  <c:v>17.435813536524766</c:v>
                </c:pt>
                <c:pt idx="41">
                  <c:v>17.87992480146367</c:v>
                </c:pt>
                <c:pt idx="42">
                  <c:v>15.442365438962856</c:v>
                </c:pt>
                <c:pt idx="43">
                  <c:v>14.687613161152607</c:v>
                </c:pt>
                <c:pt idx="44">
                  <c:v>13.102766553078181</c:v>
                </c:pt>
                <c:pt idx="45">
                  <c:v>11.970334671274907</c:v>
                </c:pt>
                <c:pt idx="46">
                  <c:v>14.001680817469174</c:v>
                </c:pt>
                <c:pt idx="47">
                  <c:v>16.2743460722611</c:v>
                </c:pt>
                <c:pt idx="48">
                  <c:v>18.813998246896269</c:v>
                </c:pt>
                <c:pt idx="49">
                  <c:v>18.527991431042864</c:v>
                </c:pt>
                <c:pt idx="50">
                  <c:v>17.85243408576272</c:v>
                </c:pt>
                <c:pt idx="51">
                  <c:v>20.387710663016552</c:v>
                </c:pt>
                <c:pt idx="52">
                  <c:v>19.142769208527874</c:v>
                </c:pt>
                <c:pt idx="53">
                  <c:v>16.582234274487554</c:v>
                </c:pt>
                <c:pt idx="54">
                  <c:v>15.185361633572585</c:v>
                </c:pt>
                <c:pt idx="55">
                  <c:v>13.643276146020463</c:v>
                </c:pt>
                <c:pt idx="56">
                  <c:v>12.902595848092924</c:v>
                </c:pt>
                <c:pt idx="57">
                  <c:v>12.396683353977231</c:v>
                </c:pt>
                <c:pt idx="58">
                  <c:v>13.309168652041922</c:v>
                </c:pt>
                <c:pt idx="59">
                  <c:v>14.425613427800274</c:v>
                </c:pt>
                <c:pt idx="60">
                  <c:v>16.985303206944792</c:v>
                </c:pt>
                <c:pt idx="61">
                  <c:v>17.806410719975922</c:v>
                </c:pt>
                <c:pt idx="62">
                  <c:v>16.625825990984634</c:v>
                </c:pt>
                <c:pt idx="63">
                  <c:v>16.815964837761463</c:v>
                </c:pt>
                <c:pt idx="64">
                  <c:v>13.954673897161875</c:v>
                </c:pt>
                <c:pt idx="65">
                  <c:v>13.970374330975377</c:v>
                </c:pt>
                <c:pt idx="66">
                  <c:v>10.50508679332178</c:v>
                </c:pt>
                <c:pt idx="67">
                  <c:v>10.49255926047786</c:v>
                </c:pt>
                <c:pt idx="68">
                  <c:v>10.981053031957522</c:v>
                </c:pt>
                <c:pt idx="69">
                  <c:v>10.281681481117714</c:v>
                </c:pt>
                <c:pt idx="70">
                  <c:v>11.376949488658711</c:v>
                </c:pt>
                <c:pt idx="71">
                  <c:v>12.989348511149693</c:v>
                </c:pt>
                <c:pt idx="72">
                  <c:v>14.93381033543657</c:v>
                </c:pt>
                <c:pt idx="73">
                  <c:v>12.161774840996561</c:v>
                </c:pt>
                <c:pt idx="74">
                  <c:v>16.648464974867519</c:v>
                </c:pt>
                <c:pt idx="75">
                  <c:v>16.219878773689736</c:v>
                </c:pt>
                <c:pt idx="76">
                  <c:v>13.742591783988734</c:v>
                </c:pt>
                <c:pt idx="77">
                  <c:v>13.801991318809963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9-4370-A65B-71C56BF52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'RESIDENCIAL_COLETIVO Suavização'!$D$6</c:f>
              <c:strCache>
                <c:ptCount val="1"/>
                <c:pt idx="0">
                  <c:v>Volume por cliente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'RESIDENCIAL_COLETIVO Suavização'!$A$7:$A$84</c:f>
              <c:numCache>
                <c:formatCode>m/d/yyyy</c:formatCode>
                <c:ptCount val="78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  <c:pt idx="4">
                  <c:v>43374</c:v>
                </c:pt>
                <c:pt idx="5">
                  <c:v>43405</c:v>
                </c:pt>
                <c:pt idx="6">
                  <c:v>43435</c:v>
                </c:pt>
                <c:pt idx="7">
                  <c:v>43466</c:v>
                </c:pt>
                <c:pt idx="8">
                  <c:v>43497</c:v>
                </c:pt>
                <c:pt idx="9">
                  <c:v>43525</c:v>
                </c:pt>
                <c:pt idx="10">
                  <c:v>43556</c:v>
                </c:pt>
                <c:pt idx="11">
                  <c:v>43586</c:v>
                </c:pt>
                <c:pt idx="12">
                  <c:v>43617</c:v>
                </c:pt>
                <c:pt idx="13">
                  <c:v>43647</c:v>
                </c:pt>
                <c:pt idx="14">
                  <c:v>43678</c:v>
                </c:pt>
                <c:pt idx="15">
                  <c:v>43709</c:v>
                </c:pt>
                <c:pt idx="16">
                  <c:v>43739</c:v>
                </c:pt>
                <c:pt idx="17">
                  <c:v>43770</c:v>
                </c:pt>
                <c:pt idx="18">
                  <c:v>43800</c:v>
                </c:pt>
                <c:pt idx="19">
                  <c:v>43831</c:v>
                </c:pt>
                <c:pt idx="20">
                  <c:v>43862</c:v>
                </c:pt>
                <c:pt idx="21">
                  <c:v>43891</c:v>
                </c:pt>
                <c:pt idx="22">
                  <c:v>43922</c:v>
                </c:pt>
                <c:pt idx="23">
                  <c:v>43952</c:v>
                </c:pt>
                <c:pt idx="24">
                  <c:v>43983</c:v>
                </c:pt>
                <c:pt idx="25">
                  <c:v>44013</c:v>
                </c:pt>
                <c:pt idx="26">
                  <c:v>44044</c:v>
                </c:pt>
                <c:pt idx="27">
                  <c:v>44075</c:v>
                </c:pt>
                <c:pt idx="28">
                  <c:v>44105</c:v>
                </c:pt>
                <c:pt idx="29">
                  <c:v>44136</c:v>
                </c:pt>
                <c:pt idx="30">
                  <c:v>44166</c:v>
                </c:pt>
                <c:pt idx="31">
                  <c:v>44197</c:v>
                </c:pt>
                <c:pt idx="32">
                  <c:v>44228</c:v>
                </c:pt>
                <c:pt idx="33">
                  <c:v>44256</c:v>
                </c:pt>
                <c:pt idx="34">
                  <c:v>44287</c:v>
                </c:pt>
                <c:pt idx="35">
                  <c:v>44317</c:v>
                </c:pt>
                <c:pt idx="36">
                  <c:v>44348</c:v>
                </c:pt>
                <c:pt idx="37">
                  <c:v>44378</c:v>
                </c:pt>
                <c:pt idx="38">
                  <c:v>44409</c:v>
                </c:pt>
                <c:pt idx="39">
                  <c:v>44440</c:v>
                </c:pt>
                <c:pt idx="40">
                  <c:v>44470</c:v>
                </c:pt>
                <c:pt idx="41">
                  <c:v>44501</c:v>
                </c:pt>
                <c:pt idx="42">
                  <c:v>44531</c:v>
                </c:pt>
                <c:pt idx="43">
                  <c:v>44562</c:v>
                </c:pt>
                <c:pt idx="44">
                  <c:v>44593</c:v>
                </c:pt>
                <c:pt idx="45">
                  <c:v>44621</c:v>
                </c:pt>
                <c:pt idx="46">
                  <c:v>44652</c:v>
                </c:pt>
                <c:pt idx="47">
                  <c:v>44682</c:v>
                </c:pt>
                <c:pt idx="48">
                  <c:v>44713</c:v>
                </c:pt>
                <c:pt idx="49">
                  <c:v>44743</c:v>
                </c:pt>
                <c:pt idx="50">
                  <c:v>44774</c:v>
                </c:pt>
                <c:pt idx="51">
                  <c:v>44805</c:v>
                </c:pt>
                <c:pt idx="52">
                  <c:v>44835</c:v>
                </c:pt>
                <c:pt idx="53">
                  <c:v>44866</c:v>
                </c:pt>
                <c:pt idx="54">
                  <c:v>44896</c:v>
                </c:pt>
                <c:pt idx="55">
                  <c:v>44927</c:v>
                </c:pt>
                <c:pt idx="56">
                  <c:v>44958</c:v>
                </c:pt>
                <c:pt idx="57">
                  <c:v>44986</c:v>
                </c:pt>
                <c:pt idx="58">
                  <c:v>45017</c:v>
                </c:pt>
                <c:pt idx="59">
                  <c:v>45047</c:v>
                </c:pt>
                <c:pt idx="60">
                  <c:v>45078</c:v>
                </c:pt>
                <c:pt idx="61">
                  <c:v>45108</c:v>
                </c:pt>
                <c:pt idx="62">
                  <c:v>45139</c:v>
                </c:pt>
                <c:pt idx="63">
                  <c:v>45170</c:v>
                </c:pt>
                <c:pt idx="64">
                  <c:v>45200</c:v>
                </c:pt>
                <c:pt idx="65">
                  <c:v>45231</c:v>
                </c:pt>
                <c:pt idx="66">
                  <c:v>45261</c:v>
                </c:pt>
                <c:pt idx="67">
                  <c:v>45292</c:v>
                </c:pt>
                <c:pt idx="68">
                  <c:v>45323</c:v>
                </c:pt>
                <c:pt idx="69">
                  <c:v>45352</c:v>
                </c:pt>
                <c:pt idx="70">
                  <c:v>45383</c:v>
                </c:pt>
                <c:pt idx="71">
                  <c:v>45413</c:v>
                </c:pt>
                <c:pt idx="72">
                  <c:v>45444</c:v>
                </c:pt>
                <c:pt idx="73">
                  <c:v>45474</c:v>
                </c:pt>
                <c:pt idx="74">
                  <c:v>45505</c:v>
                </c:pt>
                <c:pt idx="75">
                  <c:v>45536</c:v>
                </c:pt>
                <c:pt idx="76">
                  <c:v>45566</c:v>
                </c:pt>
                <c:pt idx="77">
                  <c:v>45597</c:v>
                </c:pt>
              </c:numCache>
            </c:numRef>
          </c:cat>
          <c:val>
            <c:numRef>
              <c:f>'RESIDENCIAL_COLETIVO Suavização'!$D$7:$D$84</c:f>
              <c:numCache>
                <c:formatCode>0.00</c:formatCode>
                <c:ptCount val="78"/>
                <c:pt idx="0">
                  <c:v>20.887275913516248</c:v>
                </c:pt>
                <c:pt idx="1">
                  <c:v>19.982260205121012</c:v>
                </c:pt>
                <c:pt idx="2">
                  <c:v>20.984513940190347</c:v>
                </c:pt>
                <c:pt idx="3">
                  <c:v>20.632764648252859</c:v>
                </c:pt>
                <c:pt idx="4">
                  <c:v>19.149512198313371</c:v>
                </c:pt>
                <c:pt idx="5">
                  <c:v>18.265365086934725</c:v>
                </c:pt>
                <c:pt idx="6">
                  <c:v>16.723279134265056</c:v>
                </c:pt>
                <c:pt idx="7">
                  <c:v>14.4872187626087</c:v>
                </c:pt>
                <c:pt idx="8">
                  <c:v>12.186303695229311</c:v>
                </c:pt>
                <c:pt idx="9">
                  <c:v>14.446187980933997</c:v>
                </c:pt>
                <c:pt idx="10">
                  <c:v>17.335314682226688</c:v>
                </c:pt>
                <c:pt idx="11">
                  <c:v>12.890797714374566</c:v>
                </c:pt>
                <c:pt idx="12">
                  <c:v>17.933974029334507</c:v>
                </c:pt>
                <c:pt idx="13">
                  <c:v>19.623745924513809</c:v>
                </c:pt>
                <c:pt idx="14">
                  <c:v>20.360126930644107</c:v>
                </c:pt>
                <c:pt idx="15">
                  <c:v>21.232248003563409</c:v>
                </c:pt>
                <c:pt idx="16">
                  <c:v>18.384543633003339</c:v>
                </c:pt>
                <c:pt idx="17">
                  <c:v>16.019266787554418</c:v>
                </c:pt>
                <c:pt idx="18">
                  <c:v>17.614303009632948</c:v>
                </c:pt>
                <c:pt idx="19">
                  <c:v>15.431773496581732</c:v>
                </c:pt>
                <c:pt idx="20">
                  <c:v>12.840789703315892</c:v>
                </c:pt>
                <c:pt idx="21">
                  <c:v>16.344210953273461</c:v>
                </c:pt>
                <c:pt idx="22">
                  <c:v>15.997818368308378</c:v>
                </c:pt>
                <c:pt idx="23">
                  <c:v>17.018268344045161</c:v>
                </c:pt>
                <c:pt idx="24">
                  <c:v>19.244351991557583</c:v>
                </c:pt>
                <c:pt idx="25">
                  <c:v>19.113347438069635</c:v>
                </c:pt>
                <c:pt idx="26">
                  <c:v>19.047181723374287</c:v>
                </c:pt>
                <c:pt idx="27">
                  <c:v>19.784098729140762</c:v>
                </c:pt>
                <c:pt idx="28">
                  <c:v>16.449845177070966</c:v>
                </c:pt>
                <c:pt idx="29">
                  <c:v>17.965186167148612</c:v>
                </c:pt>
                <c:pt idx="30">
                  <c:v>15.263936851511687</c:v>
                </c:pt>
                <c:pt idx="31">
                  <c:v>14.288633064510455</c:v>
                </c:pt>
                <c:pt idx="32">
                  <c:v>12.792479805276185</c:v>
                </c:pt>
                <c:pt idx="33">
                  <c:v>13.348494496767417</c:v>
                </c:pt>
                <c:pt idx="34">
                  <c:v>15.026618026359088</c:v>
                </c:pt>
                <c:pt idx="35">
                  <c:v>17.505497706396838</c:v>
                </c:pt>
                <c:pt idx="36">
                  <c:v>20.398630203731074</c:v>
                </c:pt>
                <c:pt idx="37">
                  <c:v>19.709464597624802</c:v>
                </c:pt>
                <c:pt idx="38">
                  <c:v>20.969898613043572</c:v>
                </c:pt>
                <c:pt idx="39">
                  <c:v>18.990948381643904</c:v>
                </c:pt>
                <c:pt idx="40">
                  <c:v>17.435813536524766</c:v>
                </c:pt>
                <c:pt idx="41">
                  <c:v>17.87992480146367</c:v>
                </c:pt>
                <c:pt idx="42">
                  <c:v>15.442365438962856</c:v>
                </c:pt>
                <c:pt idx="43">
                  <c:v>14.687613161152607</c:v>
                </c:pt>
                <c:pt idx="44">
                  <c:v>13.102766553078181</c:v>
                </c:pt>
                <c:pt idx="45">
                  <c:v>11.970334671274907</c:v>
                </c:pt>
                <c:pt idx="46">
                  <c:v>14.001680817469174</c:v>
                </c:pt>
                <c:pt idx="47">
                  <c:v>16.2743460722611</c:v>
                </c:pt>
                <c:pt idx="48">
                  <c:v>18.813998246896269</c:v>
                </c:pt>
                <c:pt idx="49">
                  <c:v>18.527991431042864</c:v>
                </c:pt>
                <c:pt idx="50">
                  <c:v>17.85243408576272</c:v>
                </c:pt>
                <c:pt idx="51">
                  <c:v>20.387710663016552</c:v>
                </c:pt>
                <c:pt idx="52">
                  <c:v>19.142769208527874</c:v>
                </c:pt>
                <c:pt idx="53">
                  <c:v>16.582234274487554</c:v>
                </c:pt>
                <c:pt idx="54">
                  <c:v>15.185361633572585</c:v>
                </c:pt>
                <c:pt idx="55">
                  <c:v>13.643276146020463</c:v>
                </c:pt>
                <c:pt idx="56">
                  <c:v>12.902595848092924</c:v>
                </c:pt>
                <c:pt idx="57">
                  <c:v>12.396683353977231</c:v>
                </c:pt>
                <c:pt idx="58">
                  <c:v>13.309168652041922</c:v>
                </c:pt>
                <c:pt idx="59">
                  <c:v>14.425613427800274</c:v>
                </c:pt>
                <c:pt idx="60">
                  <c:v>16.985303206944792</c:v>
                </c:pt>
                <c:pt idx="61">
                  <c:v>17.806410719975922</c:v>
                </c:pt>
                <c:pt idx="62">
                  <c:v>16.625825990984634</c:v>
                </c:pt>
                <c:pt idx="63">
                  <c:v>16.815964837761463</c:v>
                </c:pt>
                <c:pt idx="64">
                  <c:v>13.954673897161875</c:v>
                </c:pt>
                <c:pt idx="65">
                  <c:v>13.970374330975377</c:v>
                </c:pt>
                <c:pt idx="66">
                  <c:v>10.50508679332178</c:v>
                </c:pt>
                <c:pt idx="67">
                  <c:v>10.49255926047786</c:v>
                </c:pt>
                <c:pt idx="68">
                  <c:v>10.981053031957522</c:v>
                </c:pt>
                <c:pt idx="69">
                  <c:v>10.281681481117714</c:v>
                </c:pt>
                <c:pt idx="70">
                  <c:v>11.376949488658711</c:v>
                </c:pt>
                <c:pt idx="71">
                  <c:v>12.989348511149693</c:v>
                </c:pt>
                <c:pt idx="72">
                  <c:v>14.93381033543657</c:v>
                </c:pt>
                <c:pt idx="73">
                  <c:v>12.161774840996561</c:v>
                </c:pt>
                <c:pt idx="74">
                  <c:v>16.648464974867519</c:v>
                </c:pt>
                <c:pt idx="75">
                  <c:v>16.219878773689736</c:v>
                </c:pt>
                <c:pt idx="76">
                  <c:v>13.742591783988734</c:v>
                </c:pt>
                <c:pt idx="77">
                  <c:v>13.801991318809963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D-4F04-88EA-8135FE343BEC}"/>
            </c:ext>
          </c:extLst>
        </c:ser>
        <c:ser>
          <c:idx val="1"/>
          <c:order val="1"/>
          <c:tx>
            <c:strRef>
              <c:f>'RESIDENCIAL_COLETIVO Suavização'!$E$6</c:f>
              <c:strCache>
                <c:ptCount val="1"/>
                <c:pt idx="0">
                  <c:v>Média Móvel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'RESIDENCIAL_COLETIVO Suavização'!$E$7:$E$84</c:f>
              <c:numCache>
                <c:formatCode>General</c:formatCode>
                <c:ptCount val="78"/>
                <c:pt idx="11" formatCode="0.00">
                  <c:v>17.330899496830572</c:v>
                </c:pt>
                <c:pt idx="12" formatCode="0.00">
                  <c:v>17.084791006482092</c:v>
                </c:pt>
                <c:pt idx="13" formatCode="0.00">
                  <c:v>17.054914816431495</c:v>
                </c:pt>
                <c:pt idx="14" formatCode="0.00">
                  <c:v>17.002882565635975</c:v>
                </c:pt>
                <c:pt idx="15" formatCode="0.00">
                  <c:v>17.052839511911852</c:v>
                </c:pt>
                <c:pt idx="16" formatCode="0.00">
                  <c:v>16.989092131469349</c:v>
                </c:pt>
                <c:pt idx="17" formatCode="0.00">
                  <c:v>16.801917273187659</c:v>
                </c:pt>
                <c:pt idx="18" formatCode="0.00">
                  <c:v>16.87616926280165</c:v>
                </c:pt>
                <c:pt idx="19" formatCode="0.00">
                  <c:v>16.954882157299405</c:v>
                </c:pt>
                <c:pt idx="20" formatCode="0.00">
                  <c:v>17.009422657973285</c:v>
                </c:pt>
                <c:pt idx="21" formatCode="0.00">
                  <c:v>17.167591239001574</c:v>
                </c:pt>
                <c:pt idx="22" formatCode="0.00">
                  <c:v>17.056133212841711</c:v>
                </c:pt>
                <c:pt idx="23" formatCode="0.00">
                  <c:v>17.400089098647598</c:v>
                </c:pt>
                <c:pt idx="24" formatCode="0.00">
                  <c:v>17.509287262166186</c:v>
                </c:pt>
                <c:pt idx="25" formatCode="0.00">
                  <c:v>17.466754054962504</c:v>
                </c:pt>
                <c:pt idx="26" formatCode="0.00">
                  <c:v>17.357341954356688</c:v>
                </c:pt>
                <c:pt idx="27" formatCode="0.00">
                  <c:v>17.236662848154797</c:v>
                </c:pt>
                <c:pt idx="28" formatCode="0.00">
                  <c:v>17.0754379768271</c:v>
                </c:pt>
                <c:pt idx="29" formatCode="0.00">
                  <c:v>17.237597925126618</c:v>
                </c:pt>
                <c:pt idx="30" formatCode="0.00">
                  <c:v>17.041734078616511</c:v>
                </c:pt>
                <c:pt idx="31" formatCode="0.00">
                  <c:v>16.946472375943905</c:v>
                </c:pt>
                <c:pt idx="32" formatCode="0.00">
                  <c:v>16.942446551107263</c:v>
                </c:pt>
                <c:pt idx="33" formatCode="0.00">
                  <c:v>16.692803513065094</c:v>
                </c:pt>
                <c:pt idx="34" formatCode="0.00">
                  <c:v>16.611870151235987</c:v>
                </c:pt>
                <c:pt idx="35" formatCode="0.00">
                  <c:v>16.652472598098626</c:v>
                </c:pt>
                <c:pt idx="36" formatCode="0.00">
                  <c:v>16.748662449113088</c:v>
                </c:pt>
                <c:pt idx="37" formatCode="0.00">
                  <c:v>16.798338879076017</c:v>
                </c:pt>
                <c:pt idx="38" formatCode="0.00">
                  <c:v>16.958565286548456</c:v>
                </c:pt>
                <c:pt idx="39" formatCode="0.00">
                  <c:v>16.892469424257047</c:v>
                </c:pt>
                <c:pt idx="40" formatCode="0.00">
                  <c:v>16.974633454211535</c:v>
                </c:pt>
                <c:pt idx="41" formatCode="0.00">
                  <c:v>16.967528340404453</c:v>
                </c:pt>
                <c:pt idx="42" formatCode="0.00">
                  <c:v>16.98239738935872</c:v>
                </c:pt>
                <c:pt idx="43" formatCode="0.00">
                  <c:v>17.015645730745565</c:v>
                </c:pt>
                <c:pt idx="44" formatCode="0.00">
                  <c:v>17.041502959729062</c:v>
                </c:pt>
                <c:pt idx="45" formatCode="0.00">
                  <c:v>16.926656307604688</c:v>
                </c:pt>
                <c:pt idx="46" formatCode="0.00">
                  <c:v>16.841244873530528</c:v>
                </c:pt>
                <c:pt idx="47" formatCode="0.00">
                  <c:v>16.738648904019218</c:v>
                </c:pt>
                <c:pt idx="48" formatCode="0.00">
                  <c:v>16.606596240949649</c:v>
                </c:pt>
                <c:pt idx="49" formatCode="0.00">
                  <c:v>16.50814014373449</c:v>
                </c:pt>
                <c:pt idx="50" formatCode="0.00">
                  <c:v>16.248351433127752</c:v>
                </c:pt>
                <c:pt idx="51" formatCode="0.00">
                  <c:v>16.364748289908807</c:v>
                </c:pt>
                <c:pt idx="52" formatCode="0.00">
                  <c:v>16.506994595909067</c:v>
                </c:pt>
                <c:pt idx="53" formatCode="0.00">
                  <c:v>16.398853718661055</c:v>
                </c:pt>
                <c:pt idx="54" formatCode="0.00">
                  <c:v>16.377436734878533</c:v>
                </c:pt>
                <c:pt idx="55" formatCode="0.00">
                  <c:v>16.290408650284188</c:v>
                </c:pt>
                <c:pt idx="56" formatCode="0.00">
                  <c:v>16.273727758202082</c:v>
                </c:pt>
                <c:pt idx="57" formatCode="0.00">
                  <c:v>16.309256815093942</c:v>
                </c:pt>
                <c:pt idx="58" formatCode="0.00">
                  <c:v>16.251547467975005</c:v>
                </c:pt>
                <c:pt idx="59" formatCode="0.00">
                  <c:v>16.097486414269934</c:v>
                </c:pt>
                <c:pt idx="60" formatCode="0.00">
                  <c:v>15.945095160940648</c:v>
                </c:pt>
                <c:pt idx="61" formatCode="0.00">
                  <c:v>15.884963435018404</c:v>
                </c:pt>
                <c:pt idx="62" formatCode="0.00">
                  <c:v>15.782746093786896</c:v>
                </c:pt>
                <c:pt idx="63" formatCode="0.00">
                  <c:v>15.485100608348972</c:v>
                </c:pt>
                <c:pt idx="64" formatCode="0.00">
                  <c:v>15.052759332401804</c:v>
                </c:pt>
                <c:pt idx="65" formatCode="0.00">
                  <c:v>14.835104337109122</c:v>
                </c:pt>
                <c:pt idx="66" formatCode="0.00">
                  <c:v>14.445081433754888</c:v>
                </c:pt>
                <c:pt idx="67" formatCode="0.00">
                  <c:v>14.182521693293005</c:v>
                </c:pt>
                <c:pt idx="68" formatCode="0.00">
                  <c:v>14.022393125281722</c:v>
                </c:pt>
                <c:pt idx="69" formatCode="0.00">
                  <c:v>13.846142969210097</c:v>
                </c:pt>
                <c:pt idx="70" formatCode="0.00">
                  <c:v>13.685124705594825</c:v>
                </c:pt>
                <c:pt idx="71" formatCode="0.00">
                  <c:v>13.565435962540613</c:v>
                </c:pt>
                <c:pt idx="72" formatCode="0.00">
                  <c:v>13.394478223248258</c:v>
                </c:pt>
                <c:pt idx="73" formatCode="0.00">
                  <c:v>12.924091899999979</c:v>
                </c:pt>
                <c:pt idx="74" formatCode="0.00">
                  <c:v>12.925978481990221</c:v>
                </c:pt>
                <c:pt idx="75" formatCode="0.00">
                  <c:v>12.876304643317576</c:v>
                </c:pt>
                <c:pt idx="76" formatCode="0.00">
                  <c:v>12.858631133886483</c:v>
                </c:pt>
                <c:pt idx="77" formatCode="0.00">
                  <c:v>12.84459921620603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6-47FA-ABA8-A340A1AB75F5}"/>
            </c:ext>
          </c:extLst>
        </c:ser>
        <c:ser>
          <c:idx val="2"/>
          <c:order val="2"/>
          <c:tx>
            <c:strRef>
              <c:f>'RESIDENCIAL_COLETIVO Suavização'!$G$6</c:f>
              <c:strCache>
                <c:ptCount val="1"/>
                <c:pt idx="0">
                  <c:v>SES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'RESIDENCIAL_COLETIVO Suavização'!$G$7:$G$84</c:f>
              <c:numCache>
                <c:formatCode>0.00</c:formatCode>
                <c:ptCount val="78"/>
                <c:pt idx="0">
                  <c:v>16.165755150264971</c:v>
                </c:pt>
                <c:pt idx="1">
                  <c:v>18.52651553189061</c:v>
                </c:pt>
                <c:pt idx="2">
                  <c:v>19.254387868505809</c:v>
                </c:pt>
                <c:pt idx="3">
                  <c:v>20.119450904348078</c:v>
                </c:pt>
                <c:pt idx="4">
                  <c:v>20.376107776300469</c:v>
                </c:pt>
                <c:pt idx="5">
                  <c:v>19.76280998730692</c:v>
                </c:pt>
                <c:pt idx="6">
                  <c:v>19.014087537120822</c:v>
                </c:pt>
                <c:pt idx="7">
                  <c:v>17.868683335692939</c:v>
                </c:pt>
                <c:pt idx="8">
                  <c:v>16.17795104915082</c:v>
                </c:pt>
                <c:pt idx="9">
                  <c:v>14.182127372190067</c:v>
                </c:pt>
                <c:pt idx="10">
                  <c:v>14.314157676562033</c:v>
                </c:pt>
                <c:pt idx="11">
                  <c:v>15.82473617939436</c:v>
                </c:pt>
                <c:pt idx="12">
                  <c:v>14.357766946884464</c:v>
                </c:pt>
                <c:pt idx="13">
                  <c:v>16.145870488109487</c:v>
                </c:pt>
                <c:pt idx="14">
                  <c:v>17.884808206311646</c:v>
                </c:pt>
                <c:pt idx="15">
                  <c:v>19.122467568477877</c:v>
                </c:pt>
                <c:pt idx="16">
                  <c:v>20.177357786020643</c:v>
                </c:pt>
                <c:pt idx="17">
                  <c:v>19.280950709511991</c:v>
                </c:pt>
                <c:pt idx="18">
                  <c:v>17.650108748533206</c:v>
                </c:pt>
                <c:pt idx="19">
                  <c:v>17.632205879083077</c:v>
                </c:pt>
                <c:pt idx="20">
                  <c:v>16.531989687832404</c:v>
                </c:pt>
                <c:pt idx="21">
                  <c:v>14.686389695574148</c:v>
                </c:pt>
                <c:pt idx="22">
                  <c:v>15.515300324423805</c:v>
                </c:pt>
                <c:pt idx="23">
                  <c:v>15.756559346366092</c:v>
                </c:pt>
                <c:pt idx="24">
                  <c:v>16.387413845205629</c:v>
                </c:pt>
                <c:pt idx="25">
                  <c:v>17.815882918381604</c:v>
                </c:pt>
                <c:pt idx="26">
                  <c:v>18.464615178225621</c:v>
                </c:pt>
                <c:pt idx="27">
                  <c:v>18.755898450799954</c:v>
                </c:pt>
                <c:pt idx="28">
                  <c:v>19.269998589970356</c:v>
                </c:pt>
                <c:pt idx="29">
                  <c:v>17.859921883520663</c:v>
                </c:pt>
                <c:pt idx="30">
                  <c:v>17.912554025334636</c:v>
                </c:pt>
                <c:pt idx="31">
                  <c:v>16.588245438423161</c:v>
                </c:pt>
                <c:pt idx="32">
                  <c:v>15.438439251466807</c:v>
                </c:pt>
                <c:pt idx="33">
                  <c:v>14.115459528371495</c:v>
                </c:pt>
                <c:pt idx="34">
                  <c:v>13.731977012569455</c:v>
                </c:pt>
                <c:pt idx="35">
                  <c:v>14.379297519464272</c:v>
                </c:pt>
                <c:pt idx="36">
                  <c:v>15.942397612930556</c:v>
                </c:pt>
                <c:pt idx="37">
                  <c:v>18.170513908330815</c:v>
                </c:pt>
                <c:pt idx="38">
                  <c:v>18.93998925297781</c:v>
                </c:pt>
                <c:pt idx="39">
                  <c:v>19.954943933010689</c:v>
                </c:pt>
                <c:pt idx="40">
                  <c:v>19.472946157327296</c:v>
                </c:pt>
                <c:pt idx="41">
                  <c:v>18.454379846926031</c:v>
                </c:pt>
                <c:pt idx="42">
                  <c:v>18.167152324194852</c:v>
                </c:pt>
                <c:pt idx="43">
                  <c:v>16.804758881578856</c:v>
                </c:pt>
                <c:pt idx="44">
                  <c:v>15.74618602136573</c:v>
                </c:pt>
                <c:pt idx="45">
                  <c:v>14.424476287221957</c:v>
                </c:pt>
                <c:pt idx="46">
                  <c:v>13.197405479248431</c:v>
                </c:pt>
                <c:pt idx="47">
                  <c:v>13.599543148358801</c:v>
                </c:pt>
                <c:pt idx="48">
                  <c:v>14.936944610309951</c:v>
                </c:pt>
                <c:pt idx="49">
                  <c:v>16.87547142860311</c:v>
                </c:pt>
                <c:pt idx="50">
                  <c:v>17.701731429822985</c:v>
                </c:pt>
                <c:pt idx="51">
                  <c:v>17.777082757792854</c:v>
                </c:pt>
                <c:pt idx="52">
                  <c:v>19.082396710404701</c:v>
                </c:pt>
                <c:pt idx="53">
                  <c:v>19.112582959466287</c:v>
                </c:pt>
                <c:pt idx="54">
                  <c:v>17.847408616976921</c:v>
                </c:pt>
                <c:pt idx="55">
                  <c:v>16.516385125274752</c:v>
                </c:pt>
                <c:pt idx="56">
                  <c:v>15.079830635647607</c:v>
                </c:pt>
                <c:pt idx="57">
                  <c:v>13.991213241870266</c:v>
                </c:pt>
                <c:pt idx="58">
                  <c:v>13.193948297923749</c:v>
                </c:pt>
                <c:pt idx="59">
                  <c:v>13.251558474982836</c:v>
                </c:pt>
                <c:pt idx="60">
                  <c:v>13.838585951391554</c:v>
                </c:pt>
                <c:pt idx="61">
                  <c:v>15.411944579168173</c:v>
                </c:pt>
                <c:pt idx="62">
                  <c:v>16.609177649572047</c:v>
                </c:pt>
                <c:pt idx="63">
                  <c:v>16.617501820278342</c:v>
                </c:pt>
                <c:pt idx="64">
                  <c:v>16.716733329019902</c:v>
                </c:pt>
                <c:pt idx="65">
                  <c:v>15.335703613090889</c:v>
                </c:pt>
                <c:pt idx="66">
                  <c:v>14.653038972033134</c:v>
                </c:pt>
                <c:pt idx="67">
                  <c:v>12.579062882677457</c:v>
                </c:pt>
                <c:pt idx="68">
                  <c:v>11.535811071577658</c:v>
                </c:pt>
                <c:pt idx="69">
                  <c:v>11.25843205176759</c:v>
                </c:pt>
                <c:pt idx="70">
                  <c:v>10.770056766442652</c:v>
                </c:pt>
                <c:pt idx="71">
                  <c:v>11.073503127550682</c:v>
                </c:pt>
                <c:pt idx="72">
                  <c:v>12.031425819350186</c:v>
                </c:pt>
                <c:pt idx="73">
                  <c:v>13.482618077393379</c:v>
                </c:pt>
                <c:pt idx="74">
                  <c:v>12.82219645919497</c:v>
                </c:pt>
                <c:pt idx="75">
                  <c:v>14.735330717031244</c:v>
                </c:pt>
                <c:pt idx="76">
                  <c:v>15.477604745360491</c:v>
                </c:pt>
                <c:pt idx="77">
                  <c:v>14.610098264674612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6-47FA-ABA8-A340A1AB75F5}"/>
            </c:ext>
          </c:extLst>
        </c:ser>
        <c:ser>
          <c:idx val="3"/>
          <c:order val="3"/>
          <c:tx>
            <c:strRef>
              <c:f>'RESIDENCIAL_COLETIVO Suavização'!$F$6</c:f>
              <c:strCache>
                <c:ptCount val="1"/>
                <c:pt idx="0">
                  <c:v>Naive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'RESIDENCIAL_COLETIVO Suavização'!$F$7:$F$84</c:f>
              <c:numCache>
                <c:formatCode>0.00</c:formatCode>
                <c:ptCount val="78"/>
                <c:pt idx="1">
                  <c:v>20.887275913516248</c:v>
                </c:pt>
                <c:pt idx="2">
                  <c:v>19.982260205121012</c:v>
                </c:pt>
                <c:pt idx="3">
                  <c:v>20.984513940190347</c:v>
                </c:pt>
                <c:pt idx="4">
                  <c:v>20.632764648252859</c:v>
                </c:pt>
                <c:pt idx="5">
                  <c:v>19.149512198313371</c:v>
                </c:pt>
                <c:pt idx="6">
                  <c:v>18.265365086934725</c:v>
                </c:pt>
                <c:pt idx="7">
                  <c:v>16.723279134265056</c:v>
                </c:pt>
                <c:pt idx="8">
                  <c:v>14.4872187626087</c:v>
                </c:pt>
                <c:pt idx="9">
                  <c:v>12.186303695229311</c:v>
                </c:pt>
                <c:pt idx="10">
                  <c:v>14.446187980933997</c:v>
                </c:pt>
                <c:pt idx="11">
                  <c:v>17.335314682226688</c:v>
                </c:pt>
                <c:pt idx="12">
                  <c:v>12.890797714374566</c:v>
                </c:pt>
                <c:pt idx="13">
                  <c:v>17.933974029334507</c:v>
                </c:pt>
                <c:pt idx="14">
                  <c:v>19.623745924513809</c:v>
                </c:pt>
                <c:pt idx="15">
                  <c:v>20.360126930644107</c:v>
                </c:pt>
                <c:pt idx="16">
                  <c:v>21.232248003563409</c:v>
                </c:pt>
                <c:pt idx="17">
                  <c:v>18.384543633003339</c:v>
                </c:pt>
                <c:pt idx="18">
                  <c:v>16.019266787554418</c:v>
                </c:pt>
                <c:pt idx="19">
                  <c:v>17.614303009632948</c:v>
                </c:pt>
                <c:pt idx="20">
                  <c:v>15.431773496581732</c:v>
                </c:pt>
                <c:pt idx="21">
                  <c:v>12.840789703315892</c:v>
                </c:pt>
                <c:pt idx="22">
                  <c:v>16.344210953273461</c:v>
                </c:pt>
                <c:pt idx="23">
                  <c:v>15.997818368308378</c:v>
                </c:pt>
                <c:pt idx="24">
                  <c:v>17.018268344045161</c:v>
                </c:pt>
                <c:pt idx="25">
                  <c:v>19.244351991557583</c:v>
                </c:pt>
                <c:pt idx="26">
                  <c:v>19.113347438069635</c:v>
                </c:pt>
                <c:pt idx="27">
                  <c:v>19.047181723374287</c:v>
                </c:pt>
                <c:pt idx="28">
                  <c:v>19.784098729140762</c:v>
                </c:pt>
                <c:pt idx="29">
                  <c:v>16.449845177070966</c:v>
                </c:pt>
                <c:pt idx="30">
                  <c:v>17.965186167148612</c:v>
                </c:pt>
                <c:pt idx="31">
                  <c:v>15.263936851511687</c:v>
                </c:pt>
                <c:pt idx="32">
                  <c:v>14.288633064510455</c:v>
                </c:pt>
                <c:pt idx="33">
                  <c:v>12.792479805276185</c:v>
                </c:pt>
                <c:pt idx="34">
                  <c:v>13.348494496767417</c:v>
                </c:pt>
                <c:pt idx="35">
                  <c:v>15.026618026359088</c:v>
                </c:pt>
                <c:pt idx="36">
                  <c:v>17.505497706396838</c:v>
                </c:pt>
                <c:pt idx="37">
                  <c:v>20.398630203731074</c:v>
                </c:pt>
                <c:pt idx="38">
                  <c:v>19.709464597624802</c:v>
                </c:pt>
                <c:pt idx="39">
                  <c:v>20.969898613043572</c:v>
                </c:pt>
                <c:pt idx="40">
                  <c:v>18.990948381643904</c:v>
                </c:pt>
                <c:pt idx="41">
                  <c:v>17.435813536524766</c:v>
                </c:pt>
                <c:pt idx="42">
                  <c:v>17.87992480146367</c:v>
                </c:pt>
                <c:pt idx="43">
                  <c:v>15.442365438962856</c:v>
                </c:pt>
                <c:pt idx="44">
                  <c:v>14.687613161152607</c:v>
                </c:pt>
                <c:pt idx="45">
                  <c:v>13.102766553078181</c:v>
                </c:pt>
                <c:pt idx="46">
                  <c:v>11.970334671274907</c:v>
                </c:pt>
                <c:pt idx="47">
                  <c:v>14.001680817469174</c:v>
                </c:pt>
                <c:pt idx="48">
                  <c:v>16.2743460722611</c:v>
                </c:pt>
                <c:pt idx="49">
                  <c:v>18.813998246896269</c:v>
                </c:pt>
                <c:pt idx="50">
                  <c:v>18.527991431042864</c:v>
                </c:pt>
                <c:pt idx="51">
                  <c:v>17.85243408576272</c:v>
                </c:pt>
                <c:pt idx="52">
                  <c:v>20.387710663016552</c:v>
                </c:pt>
                <c:pt idx="53">
                  <c:v>19.142769208527874</c:v>
                </c:pt>
                <c:pt idx="54">
                  <c:v>16.582234274487554</c:v>
                </c:pt>
                <c:pt idx="55">
                  <c:v>15.185361633572585</c:v>
                </c:pt>
                <c:pt idx="56">
                  <c:v>13.643276146020463</c:v>
                </c:pt>
                <c:pt idx="57">
                  <c:v>12.902595848092924</c:v>
                </c:pt>
                <c:pt idx="58">
                  <c:v>12.396683353977231</c:v>
                </c:pt>
                <c:pt idx="59">
                  <c:v>13.309168652041922</c:v>
                </c:pt>
                <c:pt idx="60">
                  <c:v>14.425613427800274</c:v>
                </c:pt>
                <c:pt idx="61">
                  <c:v>16.985303206944792</c:v>
                </c:pt>
                <c:pt idx="62">
                  <c:v>17.806410719975922</c:v>
                </c:pt>
                <c:pt idx="63">
                  <c:v>16.625825990984634</c:v>
                </c:pt>
                <c:pt idx="64">
                  <c:v>16.815964837761463</c:v>
                </c:pt>
                <c:pt idx="65">
                  <c:v>13.954673897161875</c:v>
                </c:pt>
                <c:pt idx="66">
                  <c:v>13.970374330975377</c:v>
                </c:pt>
                <c:pt idx="67">
                  <c:v>10.50508679332178</c:v>
                </c:pt>
                <c:pt idx="68">
                  <c:v>10.49255926047786</c:v>
                </c:pt>
                <c:pt idx="69">
                  <c:v>10.981053031957522</c:v>
                </c:pt>
                <c:pt idx="70">
                  <c:v>10.281681481117714</c:v>
                </c:pt>
                <c:pt idx="71">
                  <c:v>11.376949488658711</c:v>
                </c:pt>
                <c:pt idx="72">
                  <c:v>12.989348511149693</c:v>
                </c:pt>
                <c:pt idx="73">
                  <c:v>14.93381033543657</c:v>
                </c:pt>
                <c:pt idx="74">
                  <c:v>12.161774840996561</c:v>
                </c:pt>
                <c:pt idx="75">
                  <c:v>16.648464974867519</c:v>
                </c:pt>
                <c:pt idx="76">
                  <c:v>16.219878773689736</c:v>
                </c:pt>
                <c:pt idx="77">
                  <c:v>13.742591783988734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D6-47FA-ABA8-A340A1AB7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46815"/>
        <c:axId val="1791047775"/>
      </c:lineChart>
      <c:dateAx>
        <c:axId val="1791046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7775"/>
        <c:crosses val="autoZero"/>
        <c:auto val="1"/>
        <c:lblOffset val="100"/>
        <c:baseTimeUnit val="months"/>
      </c:dateAx>
      <c:valAx>
        <c:axId val="179104777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04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14</xdr:row>
      <xdr:rowOff>22860</xdr:rowOff>
    </xdr:from>
    <xdr:to>
      <xdr:col>17</xdr:col>
      <xdr:colOff>91440</xdr:colOff>
      <xdr:row>24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FBCF1-FEE2-E13F-B1D8-DC06DF1ED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396240</xdr:colOff>
      <xdr:row>25</xdr:row>
      <xdr:rowOff>152400</xdr:rowOff>
    </xdr:from>
    <xdr:to>
      <xdr:col>17</xdr:col>
      <xdr:colOff>91440</xdr:colOff>
      <xdr:row>36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281E16-7787-58A8-49B6-34F9E1D14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396240</xdr:colOff>
      <xdr:row>37</xdr:row>
      <xdr:rowOff>38100</xdr:rowOff>
    </xdr:from>
    <xdr:to>
      <xdr:col>17</xdr:col>
      <xdr:colOff>91440</xdr:colOff>
      <xdr:row>47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673C80-86B3-70EB-6017-48174510E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403860</xdr:colOff>
      <xdr:row>2</xdr:row>
      <xdr:rowOff>175260</xdr:rowOff>
    </xdr:from>
    <xdr:to>
      <xdr:col>17</xdr:col>
      <xdr:colOff>99060</xdr:colOff>
      <xdr:row>13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F52E09-B864-4847-BEE5-8BA048752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13</xdr:row>
      <xdr:rowOff>106680</xdr:rowOff>
    </xdr:from>
    <xdr:to>
      <xdr:col>17</xdr:col>
      <xdr:colOff>175260</xdr:colOff>
      <xdr:row>24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8E9B9-F48E-44D5-BE6C-5B99F81D2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480060</xdr:colOff>
      <xdr:row>25</xdr:row>
      <xdr:rowOff>53340</xdr:rowOff>
    </xdr:from>
    <xdr:to>
      <xdr:col>17</xdr:col>
      <xdr:colOff>175260</xdr:colOff>
      <xdr:row>35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64712B-7D57-4AA2-B8C9-039E54641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480060</xdr:colOff>
      <xdr:row>36</xdr:row>
      <xdr:rowOff>121920</xdr:rowOff>
    </xdr:from>
    <xdr:to>
      <xdr:col>17</xdr:col>
      <xdr:colOff>175260</xdr:colOff>
      <xdr:row>47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FBBA2B-34C7-4933-96C5-BBD71DE53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472440</xdr:colOff>
      <xdr:row>2</xdr:row>
      <xdr:rowOff>22860</xdr:rowOff>
    </xdr:from>
    <xdr:to>
      <xdr:col>17</xdr:col>
      <xdr:colOff>167640</xdr:colOff>
      <xdr:row>12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0D14C4-1F85-4602-8040-0EED85F34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3</xdr:row>
      <xdr:rowOff>76200</xdr:rowOff>
    </xdr:from>
    <xdr:to>
      <xdr:col>17</xdr:col>
      <xdr:colOff>129540</xdr:colOff>
      <xdr:row>19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18D2A3-2E99-4A2F-B3C6-5D5294F6F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96E8-A6E3-4F20-B06D-A1B7C260A851}">
  <dimension ref="A1:EI57"/>
  <sheetViews>
    <sheetView workbookViewId="0">
      <selection sqref="A1:EI57"/>
    </sheetView>
  </sheetViews>
  <sheetFormatPr defaultRowHeight="14.4" x14ac:dyDescent="0.3"/>
  <sheetData>
    <row r="1" spans="1:139" x14ac:dyDescent="0.3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3</v>
      </c>
      <c r="AY1" s="1" t="s">
        <v>3</v>
      </c>
      <c r="AZ1" s="1" t="s">
        <v>3</v>
      </c>
      <c r="BA1" s="1" t="s">
        <v>3</v>
      </c>
      <c r="BB1" s="1" t="s">
        <v>3</v>
      </c>
      <c r="BC1" s="1" t="s">
        <v>3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5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1" t="s">
        <v>5</v>
      </c>
      <c r="CB1" s="1" t="s">
        <v>6</v>
      </c>
      <c r="CC1" s="1" t="s">
        <v>6</v>
      </c>
      <c r="CD1" s="1" t="s">
        <v>6</v>
      </c>
      <c r="CE1" s="1" t="s">
        <v>6</v>
      </c>
      <c r="CF1" s="1" t="s">
        <v>6</v>
      </c>
      <c r="CG1" s="1" t="s">
        <v>6</v>
      </c>
      <c r="CH1" s="1" t="s">
        <v>6</v>
      </c>
      <c r="CI1" s="1" t="s">
        <v>6</v>
      </c>
      <c r="CJ1" s="1" t="s">
        <v>6</v>
      </c>
      <c r="CK1" s="1" t="s">
        <v>6</v>
      </c>
      <c r="CL1" s="1" t="s">
        <v>6</v>
      </c>
      <c r="CM1" s="1" t="s">
        <v>6</v>
      </c>
      <c r="CN1" s="1" t="s">
        <v>7</v>
      </c>
      <c r="CO1" s="1" t="s">
        <v>7</v>
      </c>
      <c r="CP1" s="1" t="s">
        <v>7</v>
      </c>
      <c r="CQ1" s="1" t="s">
        <v>7</v>
      </c>
      <c r="CR1" s="1" t="s">
        <v>7</v>
      </c>
      <c r="CS1" s="1" t="s">
        <v>7</v>
      </c>
      <c r="CT1" s="1" t="s">
        <v>7</v>
      </c>
      <c r="CU1" s="1" t="s">
        <v>7</v>
      </c>
      <c r="CV1" s="1" t="s">
        <v>7</v>
      </c>
      <c r="CW1" s="1" t="s">
        <v>7</v>
      </c>
      <c r="CX1" s="1" t="s">
        <v>7</v>
      </c>
      <c r="CY1" s="1" t="s">
        <v>7</v>
      </c>
      <c r="CZ1" s="1" t="s">
        <v>8</v>
      </c>
      <c r="DA1" s="1" t="s">
        <v>8</v>
      </c>
      <c r="DB1" s="1" t="s">
        <v>8</v>
      </c>
      <c r="DC1" s="1" t="s">
        <v>8</v>
      </c>
      <c r="DD1" s="1" t="s">
        <v>8</v>
      </c>
      <c r="DE1" s="1" t="s">
        <v>8</v>
      </c>
      <c r="DF1" s="1" t="s">
        <v>8</v>
      </c>
      <c r="DG1" s="1" t="s">
        <v>8</v>
      </c>
      <c r="DH1" s="1" t="s">
        <v>8</v>
      </c>
      <c r="DI1" s="1" t="s">
        <v>8</v>
      </c>
      <c r="DJ1" s="1" t="s">
        <v>8</v>
      </c>
      <c r="DK1" s="1" t="s">
        <v>8</v>
      </c>
      <c r="DL1" s="1" t="s">
        <v>9</v>
      </c>
      <c r="DM1" s="1" t="s">
        <v>9</v>
      </c>
      <c r="DN1" s="1" t="s">
        <v>9</v>
      </c>
      <c r="DO1" s="1" t="s">
        <v>9</v>
      </c>
      <c r="DP1" s="1" t="s">
        <v>9</v>
      </c>
      <c r="DQ1" s="1" t="s">
        <v>9</v>
      </c>
      <c r="DR1" s="1" t="s">
        <v>9</v>
      </c>
      <c r="DS1" s="1" t="s">
        <v>9</v>
      </c>
      <c r="DT1" s="1" t="s">
        <v>9</v>
      </c>
      <c r="DU1" s="1" t="s">
        <v>9</v>
      </c>
      <c r="DV1" s="1" t="s">
        <v>9</v>
      </c>
      <c r="DW1" s="1" t="s">
        <v>9</v>
      </c>
      <c r="DX1" s="1" t="s">
        <v>10</v>
      </c>
      <c r="DY1" s="1" t="s">
        <v>10</v>
      </c>
      <c r="DZ1" s="1" t="s">
        <v>10</v>
      </c>
      <c r="EA1" s="1" t="s">
        <v>10</v>
      </c>
      <c r="EB1" s="1" t="s">
        <v>10</v>
      </c>
      <c r="EC1" s="1" t="s">
        <v>10</v>
      </c>
      <c r="ED1" s="1" t="s">
        <v>10</v>
      </c>
      <c r="EE1" s="1" t="s">
        <v>10</v>
      </c>
      <c r="EF1" s="1" t="s">
        <v>10</v>
      </c>
      <c r="EG1" s="1" t="s">
        <v>10</v>
      </c>
      <c r="EH1" s="1" t="s">
        <v>10</v>
      </c>
      <c r="EI1" s="1" t="s">
        <v>10</v>
      </c>
    </row>
    <row r="2" spans="1:139" x14ac:dyDescent="0.3">
      <c r="A2" s="3" t="s">
        <v>11</v>
      </c>
      <c r="B2" s="4">
        <v>43252</v>
      </c>
      <c r="C2" s="4">
        <v>43282</v>
      </c>
      <c r="D2" s="4">
        <v>43313</v>
      </c>
      <c r="E2" s="4">
        <v>43344</v>
      </c>
      <c r="F2" s="4">
        <v>43374</v>
      </c>
      <c r="G2" s="4">
        <v>43405</v>
      </c>
      <c r="H2" s="4">
        <v>43435</v>
      </c>
      <c r="I2" s="4">
        <v>43466</v>
      </c>
      <c r="J2" s="4">
        <v>43497</v>
      </c>
      <c r="K2" s="4">
        <v>43525</v>
      </c>
      <c r="L2" s="4">
        <v>43556</v>
      </c>
      <c r="M2" s="4">
        <v>43586</v>
      </c>
      <c r="N2" s="4">
        <v>43617</v>
      </c>
      <c r="O2" s="4">
        <v>43647</v>
      </c>
      <c r="P2" s="4">
        <v>43678</v>
      </c>
      <c r="Q2" s="4">
        <v>43709</v>
      </c>
      <c r="R2" s="4">
        <v>43739</v>
      </c>
      <c r="S2" s="4">
        <v>43770</v>
      </c>
      <c r="T2" s="4">
        <v>43800</v>
      </c>
      <c r="U2" s="4">
        <v>43831</v>
      </c>
      <c r="V2" s="4">
        <v>43862</v>
      </c>
      <c r="W2" s="4">
        <v>43891</v>
      </c>
      <c r="X2" s="4">
        <v>43922</v>
      </c>
      <c r="Y2" s="4">
        <v>43952</v>
      </c>
      <c r="Z2" s="4">
        <v>43983</v>
      </c>
      <c r="AA2" s="4">
        <v>44013</v>
      </c>
      <c r="AB2" s="4">
        <v>44044</v>
      </c>
      <c r="AC2" s="4">
        <v>44075</v>
      </c>
      <c r="AD2" s="4">
        <v>44105</v>
      </c>
      <c r="AE2" s="4">
        <v>44136</v>
      </c>
      <c r="AF2" s="4">
        <v>44166</v>
      </c>
      <c r="AG2" s="4">
        <v>44197</v>
      </c>
      <c r="AH2" s="4">
        <v>44228</v>
      </c>
      <c r="AI2" s="4">
        <v>44256</v>
      </c>
      <c r="AJ2" s="4">
        <v>44287</v>
      </c>
      <c r="AK2" s="4">
        <v>44317</v>
      </c>
      <c r="AL2" s="4">
        <v>44348</v>
      </c>
      <c r="AM2" s="4">
        <v>44378</v>
      </c>
      <c r="AN2" s="4">
        <v>44409</v>
      </c>
      <c r="AO2" s="4">
        <v>44440</v>
      </c>
      <c r="AP2" s="4">
        <v>44470</v>
      </c>
      <c r="AQ2" s="4">
        <v>44501</v>
      </c>
      <c r="AR2" s="4">
        <v>44531</v>
      </c>
      <c r="AS2" s="4">
        <v>44562</v>
      </c>
      <c r="AT2" s="4">
        <v>44593</v>
      </c>
      <c r="AU2" s="4">
        <v>44621</v>
      </c>
      <c r="AV2" s="4">
        <v>44652</v>
      </c>
      <c r="AW2" s="4">
        <v>44682</v>
      </c>
      <c r="AX2" s="4">
        <v>44713</v>
      </c>
      <c r="AY2" s="4">
        <v>44743</v>
      </c>
      <c r="AZ2" s="4">
        <v>44774</v>
      </c>
      <c r="BA2" s="4">
        <v>44805</v>
      </c>
      <c r="BB2" s="4">
        <v>44835</v>
      </c>
      <c r="BC2" s="4">
        <v>44866</v>
      </c>
      <c r="BD2" s="4">
        <v>44896</v>
      </c>
      <c r="BE2" s="4">
        <v>44927</v>
      </c>
      <c r="BF2" s="4">
        <v>44958</v>
      </c>
      <c r="BG2" s="4">
        <v>44986</v>
      </c>
      <c r="BH2" s="4">
        <v>45017</v>
      </c>
      <c r="BI2" s="4">
        <v>45047</v>
      </c>
      <c r="BJ2" s="4">
        <v>45078</v>
      </c>
      <c r="BK2" s="4">
        <v>45108</v>
      </c>
      <c r="BL2" s="4">
        <v>45139</v>
      </c>
      <c r="BM2" s="4">
        <v>45170</v>
      </c>
      <c r="BN2" s="4">
        <v>45200</v>
      </c>
      <c r="BO2" s="4">
        <v>45231</v>
      </c>
      <c r="BP2" s="4">
        <v>45261</v>
      </c>
      <c r="BQ2" s="4">
        <v>45292</v>
      </c>
      <c r="BR2" s="4">
        <v>45323</v>
      </c>
      <c r="BS2" s="4">
        <v>45352</v>
      </c>
      <c r="BT2" s="4">
        <v>45383</v>
      </c>
      <c r="BU2" s="4">
        <v>45413</v>
      </c>
      <c r="BV2" s="4">
        <v>45444</v>
      </c>
      <c r="BW2" s="4">
        <v>45474</v>
      </c>
      <c r="BX2" s="4">
        <v>45505</v>
      </c>
      <c r="BY2" s="4">
        <v>45536</v>
      </c>
      <c r="BZ2" s="4">
        <v>45566</v>
      </c>
      <c r="CA2" s="4">
        <v>45597</v>
      </c>
      <c r="CB2" s="4">
        <v>45627</v>
      </c>
      <c r="CC2" s="4">
        <v>45658</v>
      </c>
      <c r="CD2" s="4">
        <v>45689</v>
      </c>
      <c r="CE2" s="4">
        <v>45717</v>
      </c>
      <c r="CF2" s="4">
        <v>45748</v>
      </c>
      <c r="CG2" s="4">
        <v>45778</v>
      </c>
      <c r="CH2" s="4">
        <v>45809</v>
      </c>
      <c r="CI2" s="4">
        <v>45839</v>
      </c>
      <c r="CJ2" s="4">
        <v>45870</v>
      </c>
      <c r="CK2" s="4">
        <v>45901</v>
      </c>
      <c r="CL2" s="4">
        <v>45931</v>
      </c>
      <c r="CM2" s="4">
        <v>45962</v>
      </c>
      <c r="CN2" s="4">
        <v>45992</v>
      </c>
      <c r="CO2" s="4">
        <v>46023</v>
      </c>
      <c r="CP2" s="4">
        <v>46054</v>
      </c>
      <c r="CQ2" s="4">
        <v>46082</v>
      </c>
      <c r="CR2" s="4">
        <v>46113</v>
      </c>
      <c r="CS2" s="4">
        <v>46143</v>
      </c>
      <c r="CT2" s="4">
        <v>46174</v>
      </c>
      <c r="CU2" s="4">
        <v>46204</v>
      </c>
      <c r="CV2" s="4">
        <v>46235</v>
      </c>
      <c r="CW2" s="4">
        <v>46266</v>
      </c>
      <c r="CX2" s="4">
        <v>46296</v>
      </c>
      <c r="CY2" s="4">
        <v>46327</v>
      </c>
      <c r="CZ2" s="4">
        <v>46357</v>
      </c>
      <c r="DA2" s="4">
        <v>46388</v>
      </c>
      <c r="DB2" s="4">
        <v>46419</v>
      </c>
      <c r="DC2" s="4">
        <v>46447</v>
      </c>
      <c r="DD2" s="4">
        <v>46478</v>
      </c>
      <c r="DE2" s="4">
        <v>46508</v>
      </c>
      <c r="DF2" s="4">
        <v>46539</v>
      </c>
      <c r="DG2" s="4">
        <v>46569</v>
      </c>
      <c r="DH2" s="4">
        <v>46600</v>
      </c>
      <c r="DI2" s="4">
        <v>46631</v>
      </c>
      <c r="DJ2" s="4">
        <v>46661</v>
      </c>
      <c r="DK2" s="4">
        <v>46692</v>
      </c>
      <c r="DL2" s="4">
        <v>46722</v>
      </c>
      <c r="DM2" s="4">
        <v>46753</v>
      </c>
      <c r="DN2" s="4">
        <v>46784</v>
      </c>
      <c r="DO2" s="4">
        <v>46813</v>
      </c>
      <c r="DP2" s="4">
        <v>46844</v>
      </c>
      <c r="DQ2" s="4">
        <v>46874</v>
      </c>
      <c r="DR2" s="4">
        <v>46905</v>
      </c>
      <c r="DS2" s="4">
        <v>46935</v>
      </c>
      <c r="DT2" s="4">
        <v>46966</v>
      </c>
      <c r="DU2" s="4">
        <v>46997</v>
      </c>
      <c r="DV2" s="4">
        <v>47027</v>
      </c>
      <c r="DW2" s="4">
        <v>47058</v>
      </c>
      <c r="DX2" s="4">
        <v>47088</v>
      </c>
      <c r="DY2" s="4">
        <v>47119</v>
      </c>
      <c r="DZ2" s="4">
        <v>47150</v>
      </c>
      <c r="EA2" s="4">
        <v>47178</v>
      </c>
      <c r="EB2" s="4">
        <v>47209</v>
      </c>
      <c r="EC2" s="4">
        <v>47239</v>
      </c>
      <c r="ED2" s="4">
        <v>47270</v>
      </c>
      <c r="EE2" s="4">
        <v>47300</v>
      </c>
      <c r="EF2" s="4">
        <v>47331</v>
      </c>
      <c r="EG2" s="4">
        <v>47362</v>
      </c>
      <c r="EH2" s="4">
        <v>47392</v>
      </c>
      <c r="EI2" s="4">
        <v>47423</v>
      </c>
    </row>
    <row r="3" spans="1:139" x14ac:dyDescent="0.3">
      <c r="A3" s="5" t="s">
        <v>12</v>
      </c>
      <c r="B3" s="6">
        <v>1213427</v>
      </c>
      <c r="C3" s="6">
        <v>1226778</v>
      </c>
      <c r="D3" s="6">
        <v>1231764</v>
      </c>
      <c r="E3" s="6">
        <v>1229575</v>
      </c>
      <c r="F3" s="6">
        <v>1243986</v>
      </c>
      <c r="G3" s="6">
        <v>1244481</v>
      </c>
      <c r="H3" s="6">
        <v>1226315</v>
      </c>
      <c r="I3" s="6">
        <v>1199537</v>
      </c>
      <c r="J3" s="6">
        <v>1266476</v>
      </c>
      <c r="K3" s="6">
        <v>1271294</v>
      </c>
      <c r="L3" s="6">
        <v>1280623</v>
      </c>
      <c r="M3" s="6">
        <v>1277050</v>
      </c>
      <c r="N3" s="6">
        <v>1265648</v>
      </c>
      <c r="O3" s="6">
        <v>1285196</v>
      </c>
      <c r="P3" s="6">
        <v>1282494</v>
      </c>
      <c r="Q3" s="6">
        <v>1289280</v>
      </c>
      <c r="R3" s="6">
        <v>1298611</v>
      </c>
      <c r="S3" s="6">
        <v>1300369</v>
      </c>
      <c r="T3" s="6">
        <v>1307446</v>
      </c>
      <c r="U3" s="6">
        <v>1325080</v>
      </c>
      <c r="V3" s="6">
        <v>1320791</v>
      </c>
      <c r="W3" s="6">
        <v>1321612</v>
      </c>
      <c r="X3" s="6">
        <v>1325322</v>
      </c>
      <c r="Y3" s="6">
        <v>1326382</v>
      </c>
      <c r="Z3" s="6">
        <v>1333790</v>
      </c>
      <c r="AA3" s="6">
        <v>1340191</v>
      </c>
      <c r="AB3" s="6">
        <v>1341528</v>
      </c>
      <c r="AC3" s="6">
        <v>1351714</v>
      </c>
      <c r="AD3" s="6">
        <v>1353651</v>
      </c>
      <c r="AE3" s="6">
        <v>1356261</v>
      </c>
      <c r="AF3" s="6">
        <v>1360923</v>
      </c>
      <c r="AG3" s="6">
        <v>1372130</v>
      </c>
      <c r="AH3" s="6">
        <v>1380269</v>
      </c>
      <c r="AI3" s="6">
        <v>1389720</v>
      </c>
      <c r="AJ3" s="6">
        <v>1391780</v>
      </c>
      <c r="AK3" s="6">
        <v>1393580</v>
      </c>
      <c r="AL3" s="6">
        <v>1410524</v>
      </c>
      <c r="AM3" s="6">
        <v>1413802</v>
      </c>
      <c r="AN3" s="6">
        <v>1444587</v>
      </c>
      <c r="AO3" s="6">
        <v>1423822</v>
      </c>
      <c r="AP3" s="6">
        <v>1434809</v>
      </c>
      <c r="AQ3" s="6">
        <v>1441631</v>
      </c>
      <c r="AR3" s="6">
        <v>1445100</v>
      </c>
      <c r="AS3" s="6">
        <v>1455634</v>
      </c>
      <c r="AT3" s="6">
        <v>1455980</v>
      </c>
      <c r="AU3" s="6">
        <v>1524419</v>
      </c>
      <c r="AV3" s="6">
        <v>1467852</v>
      </c>
      <c r="AW3" s="6">
        <v>1479388</v>
      </c>
      <c r="AX3" s="6">
        <v>1484573</v>
      </c>
      <c r="AY3" s="6">
        <v>1489769</v>
      </c>
      <c r="AZ3" s="6">
        <v>1499753</v>
      </c>
      <c r="BA3" s="6">
        <v>1501094</v>
      </c>
      <c r="BB3" s="6">
        <v>1509837</v>
      </c>
      <c r="BC3" s="6">
        <v>1517501</v>
      </c>
      <c r="BD3" s="6">
        <v>1523683</v>
      </c>
      <c r="BE3" s="6">
        <v>1530759</v>
      </c>
      <c r="BF3" s="6">
        <v>1533952</v>
      </c>
      <c r="BG3" s="6">
        <v>1546211</v>
      </c>
      <c r="BH3" s="6">
        <v>1541174</v>
      </c>
      <c r="BI3" s="6">
        <v>1555175</v>
      </c>
      <c r="BJ3" s="6">
        <v>1555549</v>
      </c>
      <c r="BK3" s="6">
        <v>1562616</v>
      </c>
      <c r="BL3" s="6">
        <v>1572452</v>
      </c>
      <c r="BM3" s="6">
        <v>1570575</v>
      </c>
      <c r="BN3" s="6">
        <v>1576309</v>
      </c>
      <c r="BO3" s="6">
        <v>1578505</v>
      </c>
      <c r="BP3" s="6">
        <v>1585010</v>
      </c>
      <c r="BQ3" s="6">
        <v>1599449</v>
      </c>
      <c r="BR3" s="6">
        <v>1600363</v>
      </c>
      <c r="BS3" s="6">
        <v>1601336</v>
      </c>
      <c r="BT3" s="6">
        <v>1611310</v>
      </c>
      <c r="BU3" s="6">
        <v>1612491</v>
      </c>
      <c r="BV3" s="6">
        <v>1614102</v>
      </c>
      <c r="BW3" s="6">
        <v>1626354</v>
      </c>
      <c r="BX3" s="6">
        <v>1623234</v>
      </c>
      <c r="BY3" s="6">
        <v>1628533</v>
      </c>
      <c r="BZ3" s="6">
        <v>1632763</v>
      </c>
      <c r="CA3" s="6">
        <v>1626376</v>
      </c>
      <c r="CB3" s="7">
        <v>1602161.192288415</v>
      </c>
      <c r="CC3" s="7">
        <v>1607675.5876896782</v>
      </c>
      <c r="CD3" s="7">
        <v>1613615.2084090724</v>
      </c>
      <c r="CE3" s="7">
        <v>1620553.2429627459</v>
      </c>
      <c r="CF3" s="7">
        <v>1626342.0957080806</v>
      </c>
      <c r="CG3" s="7">
        <v>1632537.5429129421</v>
      </c>
      <c r="CH3" s="7">
        <v>1638599.0476750629</v>
      </c>
      <c r="CI3" s="7">
        <v>1645609.9644336938</v>
      </c>
      <c r="CJ3" s="7">
        <v>1651895.3623635897</v>
      </c>
      <c r="CK3" s="7">
        <v>1658607.0632198681</v>
      </c>
      <c r="CL3" s="7">
        <v>1663625.1937964451</v>
      </c>
      <c r="CM3" s="7">
        <v>1666093.1234801777</v>
      </c>
      <c r="CN3" s="7">
        <v>1672084.6421547609</v>
      </c>
      <c r="CO3" s="7">
        <v>1681822.2977578398</v>
      </c>
      <c r="CP3" s="7">
        <v>1687606.204214321</v>
      </c>
      <c r="CQ3" s="7">
        <v>1698989.7766183694</v>
      </c>
      <c r="CR3" s="7">
        <v>1708583.4388252348</v>
      </c>
      <c r="CS3" s="7">
        <v>1717572.1737403097</v>
      </c>
      <c r="CT3" s="7">
        <v>1727618.4991423108</v>
      </c>
      <c r="CU3" s="7">
        <v>1735604.8015492419</v>
      </c>
      <c r="CV3" s="7">
        <v>1743258.2333881336</v>
      </c>
      <c r="CW3" s="7">
        <v>1751519.2054135662</v>
      </c>
      <c r="CX3" s="7">
        <v>1758273.7080410009</v>
      </c>
      <c r="CY3" s="7">
        <v>1765108.7394980856</v>
      </c>
      <c r="CZ3" s="7">
        <v>1773587.4684637734</v>
      </c>
      <c r="DA3" s="7">
        <v>1785298.3027957026</v>
      </c>
      <c r="DB3" s="7">
        <v>1794304.9540887824</v>
      </c>
      <c r="DC3" s="7">
        <v>1800882.9830181953</v>
      </c>
      <c r="DD3" s="7">
        <v>1810320.3518959449</v>
      </c>
      <c r="DE3" s="7">
        <v>1820488.9738522319</v>
      </c>
      <c r="DF3" s="7">
        <v>1831702.3354293429</v>
      </c>
      <c r="DG3" s="7">
        <v>1840683.5304203853</v>
      </c>
      <c r="DH3" s="7">
        <v>1850734.534296623</v>
      </c>
      <c r="DI3" s="7">
        <v>1861023.8535972056</v>
      </c>
      <c r="DJ3" s="7">
        <v>1871524.1436478011</v>
      </c>
      <c r="DK3" s="7">
        <v>1880924.7622768898</v>
      </c>
      <c r="DL3" s="7">
        <v>1891422.5965784593</v>
      </c>
      <c r="DM3" s="7">
        <v>1902986.5569517158</v>
      </c>
      <c r="DN3" s="7">
        <v>1915338.0634656474</v>
      </c>
      <c r="DO3" s="7">
        <v>1924910.2219202772</v>
      </c>
      <c r="DP3" s="7">
        <v>1934492.7286948964</v>
      </c>
      <c r="DQ3" s="7">
        <v>1945118.4083170984</v>
      </c>
      <c r="DR3" s="7">
        <v>1956775.5146219544</v>
      </c>
      <c r="DS3" s="7">
        <v>1968866.3744378858</v>
      </c>
      <c r="DT3" s="7">
        <v>1977709.5144951562</v>
      </c>
      <c r="DU3" s="7">
        <v>1987773.0931398231</v>
      </c>
      <c r="DV3" s="7">
        <v>2000786.9159450643</v>
      </c>
      <c r="DW3" s="7">
        <v>2009211.2452577113</v>
      </c>
      <c r="DX3" s="7">
        <v>2017633.2536516932</v>
      </c>
      <c r="DY3" s="7">
        <v>2027208.5048660466</v>
      </c>
      <c r="DZ3" s="7">
        <v>2036799.7770964904</v>
      </c>
      <c r="EA3" s="7">
        <v>2043917.376971663</v>
      </c>
      <c r="EB3" s="7">
        <v>2053819.7680847952</v>
      </c>
      <c r="EC3" s="7">
        <v>2060999.974679884</v>
      </c>
      <c r="ED3" s="7">
        <v>2069756.3112320425</v>
      </c>
      <c r="EE3" s="7">
        <v>2079870.843369609</v>
      </c>
      <c r="EF3" s="7">
        <v>2087423.7763848156</v>
      </c>
      <c r="EG3" s="7">
        <v>2099342.9042250765</v>
      </c>
      <c r="EH3" s="7">
        <v>2106652.8390196832</v>
      </c>
      <c r="EI3" s="7">
        <v>2116865.0871802657</v>
      </c>
    </row>
    <row r="4" spans="1:139" x14ac:dyDescent="0.3">
      <c r="A4" s="5" t="s">
        <v>13</v>
      </c>
      <c r="B4" s="6">
        <v>593175</v>
      </c>
      <c r="C4" s="6">
        <v>598866</v>
      </c>
      <c r="D4" s="6">
        <v>599669</v>
      </c>
      <c r="E4" s="6">
        <v>639991</v>
      </c>
      <c r="F4" s="6">
        <v>611396</v>
      </c>
      <c r="G4" s="6">
        <v>616497</v>
      </c>
      <c r="H4" s="6">
        <v>606837</v>
      </c>
      <c r="I4" s="6">
        <v>582435</v>
      </c>
      <c r="J4" s="6">
        <v>641584</v>
      </c>
      <c r="K4" s="6">
        <v>641980</v>
      </c>
      <c r="L4" s="6">
        <v>656726</v>
      </c>
      <c r="M4" s="6">
        <v>643150</v>
      </c>
      <c r="N4" s="6">
        <v>610612</v>
      </c>
      <c r="O4" s="6">
        <v>689795</v>
      </c>
      <c r="P4" s="6">
        <v>675487</v>
      </c>
      <c r="Q4" s="6">
        <v>657797</v>
      </c>
      <c r="R4" s="6">
        <v>655788</v>
      </c>
      <c r="S4" s="6">
        <v>660668</v>
      </c>
      <c r="T4" s="6">
        <v>659715</v>
      </c>
      <c r="U4" s="6">
        <v>669491</v>
      </c>
      <c r="V4" s="6">
        <v>673848</v>
      </c>
      <c r="W4" s="6">
        <v>663199</v>
      </c>
      <c r="X4" s="6">
        <v>670764</v>
      </c>
      <c r="Y4" s="6">
        <v>693781</v>
      </c>
      <c r="Z4" s="6">
        <v>687954</v>
      </c>
      <c r="AA4" s="6">
        <v>684640</v>
      </c>
      <c r="AB4" s="6">
        <v>722037</v>
      </c>
      <c r="AC4" s="6">
        <v>696694</v>
      </c>
      <c r="AD4" s="6">
        <v>700736</v>
      </c>
      <c r="AE4" s="6">
        <v>703051</v>
      </c>
      <c r="AF4" s="6">
        <v>705005</v>
      </c>
      <c r="AG4" s="6">
        <v>711621</v>
      </c>
      <c r="AH4" s="6">
        <v>711572</v>
      </c>
      <c r="AI4" s="6">
        <v>715216</v>
      </c>
      <c r="AJ4" s="6">
        <v>719979</v>
      </c>
      <c r="AK4" s="6">
        <v>728984</v>
      </c>
      <c r="AL4" s="6">
        <v>726546</v>
      </c>
      <c r="AM4" s="6">
        <v>740826</v>
      </c>
      <c r="AN4" s="6">
        <v>746743</v>
      </c>
      <c r="AO4" s="6">
        <v>748939</v>
      </c>
      <c r="AP4" s="6">
        <v>752394</v>
      </c>
      <c r="AQ4" s="6">
        <v>754270</v>
      </c>
      <c r="AR4" s="6">
        <v>759005</v>
      </c>
      <c r="AS4" s="6">
        <v>760906</v>
      </c>
      <c r="AT4" s="6">
        <v>774433</v>
      </c>
      <c r="AU4" s="6">
        <v>824899</v>
      </c>
      <c r="AV4" s="6">
        <v>792299</v>
      </c>
      <c r="AW4" s="6">
        <v>800486</v>
      </c>
      <c r="AX4" s="6">
        <v>803147</v>
      </c>
      <c r="AY4" s="6">
        <v>813868</v>
      </c>
      <c r="AZ4" s="6">
        <v>815226</v>
      </c>
      <c r="BA4" s="6">
        <v>827008</v>
      </c>
      <c r="BB4" s="6">
        <v>836972</v>
      </c>
      <c r="BC4" s="6">
        <v>835251</v>
      </c>
      <c r="BD4" s="6">
        <v>839828</v>
      </c>
      <c r="BE4" s="6">
        <v>842786</v>
      </c>
      <c r="BF4" s="6">
        <v>849730</v>
      </c>
      <c r="BG4" s="6">
        <v>871121</v>
      </c>
      <c r="BH4" s="6">
        <v>872631</v>
      </c>
      <c r="BI4" s="6">
        <v>889200</v>
      </c>
      <c r="BJ4" s="6">
        <v>892064</v>
      </c>
      <c r="BK4" s="6">
        <v>903808</v>
      </c>
      <c r="BL4" s="6">
        <v>914217</v>
      </c>
      <c r="BM4" s="6">
        <v>915812</v>
      </c>
      <c r="BN4" s="6">
        <v>923957</v>
      </c>
      <c r="BO4" s="6">
        <v>929338</v>
      </c>
      <c r="BP4" s="6">
        <v>938033</v>
      </c>
      <c r="BQ4" s="6">
        <v>954346</v>
      </c>
      <c r="BR4" s="6">
        <v>956989</v>
      </c>
      <c r="BS4" s="6">
        <v>957061</v>
      </c>
      <c r="BT4" s="6">
        <v>976256</v>
      </c>
      <c r="BU4" s="6">
        <v>973570</v>
      </c>
      <c r="BV4" s="6">
        <v>980394</v>
      </c>
      <c r="BW4" s="6">
        <v>1282205</v>
      </c>
      <c r="BX4" s="6">
        <v>997912</v>
      </c>
      <c r="BY4" s="6">
        <v>1008032</v>
      </c>
      <c r="BZ4" s="6">
        <v>1019132</v>
      </c>
      <c r="CA4" s="6">
        <v>1023362</v>
      </c>
      <c r="CB4" s="7">
        <v>1060608.1918380489</v>
      </c>
      <c r="CC4" s="7">
        <v>1062339.5804964278</v>
      </c>
      <c r="CD4" s="7">
        <v>1063615.3274344753</v>
      </c>
      <c r="CE4" s="7">
        <v>1063908.7121204061</v>
      </c>
      <c r="CF4" s="7">
        <v>1065273.6716752409</v>
      </c>
      <c r="CG4" s="7">
        <v>1066335.6076725619</v>
      </c>
      <c r="CH4" s="7">
        <v>1067478.7670867566</v>
      </c>
      <c r="CI4" s="7">
        <v>1067896.6521514351</v>
      </c>
      <c r="CJ4" s="7">
        <v>1068648.9992312337</v>
      </c>
      <c r="CK4" s="7">
        <v>1069262.8465599169</v>
      </c>
      <c r="CL4" s="7">
        <v>1071486.7443271419</v>
      </c>
      <c r="CM4" s="7">
        <v>1076326.9258461443</v>
      </c>
      <c r="CN4" s="7">
        <v>1078228.0549653498</v>
      </c>
      <c r="CO4" s="7">
        <v>1076477.1066646178</v>
      </c>
      <c r="CP4" s="7">
        <v>1078686.2511302589</v>
      </c>
      <c r="CQ4" s="7">
        <v>1075172.8604964258</v>
      </c>
      <c r="CR4" s="7">
        <v>1073383.6726408433</v>
      </c>
      <c r="CS4" s="7">
        <v>1072346.8882936786</v>
      </c>
      <c r="CT4" s="7">
        <v>1070299.4964634278</v>
      </c>
      <c r="CU4" s="7">
        <v>1070257.3865802707</v>
      </c>
      <c r="CV4" s="7">
        <v>1070534.1517707307</v>
      </c>
      <c r="CW4" s="7">
        <v>1070186.8279161155</v>
      </c>
      <c r="CX4" s="7">
        <v>1071420.3318537725</v>
      </c>
      <c r="CY4" s="7">
        <v>1072523.9626439284</v>
      </c>
      <c r="CZ4" s="7">
        <v>1072441.0880029283</v>
      </c>
      <c r="DA4" s="7">
        <v>1069214.949082236</v>
      </c>
      <c r="DB4" s="7">
        <v>1068704.8463961559</v>
      </c>
      <c r="DC4" s="7">
        <v>1070639.0717905662</v>
      </c>
      <c r="DD4" s="7">
        <v>1069746.8342853375</v>
      </c>
      <c r="DE4" s="7">
        <v>1068198.1916069197</v>
      </c>
      <c r="DF4" s="7">
        <v>1065418.3263451899</v>
      </c>
      <c r="DG4" s="7">
        <v>1064921.24937369</v>
      </c>
      <c r="DH4" s="7">
        <v>1063416.6836490214</v>
      </c>
      <c r="DI4" s="7">
        <v>1061540.2919070912</v>
      </c>
      <c r="DJ4" s="7">
        <v>1059484.7001510863</v>
      </c>
      <c r="DK4" s="7">
        <v>1058539.244287574</v>
      </c>
      <c r="DL4" s="7">
        <v>1056580.3496091203</v>
      </c>
      <c r="DM4" s="7">
        <v>1053510.4223434157</v>
      </c>
      <c r="DN4" s="7">
        <v>1049704.9225051908</v>
      </c>
      <c r="DO4" s="7">
        <v>1048746.4254651484</v>
      </c>
      <c r="DP4" s="7">
        <v>1047793.2999812178</v>
      </c>
      <c r="DQ4" s="7">
        <v>1045626.0271461339</v>
      </c>
      <c r="DR4" s="7">
        <v>1042537.5920529022</v>
      </c>
      <c r="DS4" s="7">
        <v>1039073.3521435674</v>
      </c>
      <c r="DT4" s="7">
        <v>1038754.326524528</v>
      </c>
      <c r="DU4" s="7">
        <v>1037333.1973417083</v>
      </c>
      <c r="DV4" s="7">
        <v>1032928.0674907611</v>
      </c>
      <c r="DW4" s="7">
        <v>1033031.368884257</v>
      </c>
      <c r="DX4" s="7">
        <v>1032077.8455975915</v>
      </c>
      <c r="DY4" s="7">
        <v>1029886.601818963</v>
      </c>
      <c r="DZ4" s="7">
        <v>1027780.6698523019</v>
      </c>
      <c r="EA4" s="7">
        <v>1028152.9450106804</v>
      </c>
      <c r="EB4" s="7">
        <v>1025668.2374016851</v>
      </c>
      <c r="EC4" s="7">
        <v>1025936.3997467129</v>
      </c>
      <c r="ED4" s="7">
        <v>1024651.4612071614</v>
      </c>
      <c r="EE4" s="7">
        <v>1022026.6529536215</v>
      </c>
      <c r="EF4" s="7">
        <v>1021955.1520949171</v>
      </c>
      <c r="EG4" s="7">
        <v>1017446.6238960116</v>
      </c>
      <c r="EH4" s="7">
        <v>1017655.9212251735</v>
      </c>
      <c r="EI4" s="7">
        <v>1014883.559845338</v>
      </c>
    </row>
    <row r="5" spans="1:139" x14ac:dyDescent="0.3">
      <c r="A5" s="5" t="s">
        <v>14</v>
      </c>
      <c r="B5" s="6">
        <v>30238</v>
      </c>
      <c r="C5" s="6">
        <v>30733</v>
      </c>
      <c r="D5" s="6">
        <v>30710</v>
      </c>
      <c r="E5" s="6">
        <v>30969</v>
      </c>
      <c r="F5" s="6">
        <v>30602</v>
      </c>
      <c r="G5" s="6">
        <v>32149</v>
      </c>
      <c r="H5" s="6">
        <v>30210</v>
      </c>
      <c r="I5" s="6">
        <v>29964</v>
      </c>
      <c r="J5" s="6">
        <v>32000</v>
      </c>
      <c r="K5" s="6">
        <v>32123</v>
      </c>
      <c r="L5" s="6">
        <v>33527</v>
      </c>
      <c r="M5" s="6">
        <v>31284</v>
      </c>
      <c r="N5" s="6">
        <v>31650</v>
      </c>
      <c r="O5" s="6">
        <v>32761</v>
      </c>
      <c r="P5" s="6">
        <v>32513</v>
      </c>
      <c r="Q5" s="6">
        <v>31978</v>
      </c>
      <c r="R5" s="6">
        <v>31909</v>
      </c>
      <c r="S5" s="6">
        <v>31632</v>
      </c>
      <c r="T5" s="6">
        <v>31943</v>
      </c>
      <c r="U5" s="6">
        <v>32477</v>
      </c>
      <c r="V5" s="6">
        <v>32238</v>
      </c>
      <c r="W5" s="6">
        <v>31837</v>
      </c>
      <c r="X5" s="6">
        <v>33490</v>
      </c>
      <c r="Y5" s="6">
        <v>36767</v>
      </c>
      <c r="Z5" s="6">
        <v>37441</v>
      </c>
      <c r="AA5" s="6">
        <v>34790</v>
      </c>
      <c r="AB5" s="6">
        <v>33206</v>
      </c>
      <c r="AC5" s="6">
        <v>32842</v>
      </c>
      <c r="AD5" s="6">
        <v>32178</v>
      </c>
      <c r="AE5" s="6">
        <v>32097</v>
      </c>
      <c r="AF5" s="6">
        <v>31700</v>
      </c>
      <c r="AG5" s="6">
        <v>31986</v>
      </c>
      <c r="AH5" s="6">
        <v>31751</v>
      </c>
      <c r="AI5" s="6">
        <v>31879</v>
      </c>
      <c r="AJ5" s="6">
        <v>32192</v>
      </c>
      <c r="AK5" s="6">
        <v>32536</v>
      </c>
      <c r="AL5" s="6">
        <v>32534</v>
      </c>
      <c r="AM5" s="6">
        <v>31912</v>
      </c>
      <c r="AN5" s="6">
        <v>34506</v>
      </c>
      <c r="AO5" s="6">
        <v>31880</v>
      </c>
      <c r="AP5" s="6">
        <v>32418</v>
      </c>
      <c r="AQ5" s="6">
        <v>31795</v>
      </c>
      <c r="AR5" s="6">
        <v>32799</v>
      </c>
      <c r="AS5" s="6">
        <v>31746</v>
      </c>
      <c r="AT5" s="6">
        <v>32983</v>
      </c>
      <c r="AU5" s="6">
        <v>34670</v>
      </c>
      <c r="AV5" s="6">
        <v>32137</v>
      </c>
      <c r="AW5" s="6">
        <v>33007</v>
      </c>
      <c r="AX5" s="6">
        <v>32432</v>
      </c>
      <c r="AY5" s="6">
        <v>32669</v>
      </c>
      <c r="AZ5" s="6">
        <v>33935</v>
      </c>
      <c r="BA5" s="6">
        <v>32666</v>
      </c>
      <c r="BB5" s="6">
        <v>32869</v>
      </c>
      <c r="BC5" s="6">
        <v>33169</v>
      </c>
      <c r="BD5" s="6">
        <v>33110</v>
      </c>
      <c r="BE5" s="6">
        <v>33129</v>
      </c>
      <c r="BF5" s="6">
        <v>33225</v>
      </c>
      <c r="BG5" s="6">
        <v>33813</v>
      </c>
      <c r="BH5" s="6">
        <v>33248</v>
      </c>
      <c r="BI5" s="6">
        <v>36130</v>
      </c>
      <c r="BJ5" s="6">
        <v>33709</v>
      </c>
      <c r="BK5" s="6">
        <v>33671</v>
      </c>
      <c r="BL5" s="6">
        <v>33718</v>
      </c>
      <c r="BM5" s="6">
        <v>33650</v>
      </c>
      <c r="BN5" s="6">
        <v>34052</v>
      </c>
      <c r="BO5" s="6">
        <v>33899</v>
      </c>
      <c r="BP5" s="6">
        <v>34044</v>
      </c>
      <c r="BQ5" s="6">
        <v>33976</v>
      </c>
      <c r="BR5" s="6">
        <v>34396</v>
      </c>
      <c r="BS5" s="6">
        <v>34257</v>
      </c>
      <c r="BT5" s="6">
        <v>33993</v>
      </c>
      <c r="BU5" s="6">
        <v>33910</v>
      </c>
      <c r="BV5" s="6">
        <v>33966</v>
      </c>
      <c r="BW5" s="6">
        <v>34183</v>
      </c>
      <c r="BX5" s="6">
        <v>34249</v>
      </c>
      <c r="BY5" s="6">
        <v>34470</v>
      </c>
      <c r="BZ5" s="6">
        <v>34256</v>
      </c>
      <c r="CA5" s="6">
        <v>34178</v>
      </c>
      <c r="CB5" s="7">
        <v>35233.265272191005</v>
      </c>
      <c r="CC5" s="7">
        <v>35218.519033918783</v>
      </c>
      <c r="CD5" s="7">
        <v>35243.100943833291</v>
      </c>
      <c r="CE5" s="7">
        <v>35212.77700719078</v>
      </c>
      <c r="CF5" s="7">
        <v>35341.206426867444</v>
      </c>
      <c r="CG5" s="7">
        <v>35307.775741727928</v>
      </c>
      <c r="CH5" s="7">
        <v>35371.299358512952</v>
      </c>
      <c r="CI5" s="7">
        <v>35061.943761522365</v>
      </c>
      <c r="CJ5" s="7">
        <v>35381.288863031499</v>
      </c>
      <c r="CK5" s="7">
        <v>35250.640602601197</v>
      </c>
      <c r="CL5" s="7">
        <v>35229.241039161403</v>
      </c>
      <c r="CM5" s="7">
        <v>35122.454362760756</v>
      </c>
      <c r="CN5" s="7">
        <v>35102.974857687594</v>
      </c>
      <c r="CO5" s="7">
        <v>35065.60769813729</v>
      </c>
      <c r="CP5" s="7">
        <v>35005.429447434311</v>
      </c>
      <c r="CQ5" s="7">
        <v>35144.998102433703</v>
      </c>
      <c r="CR5" s="7">
        <v>35404.711650455938</v>
      </c>
      <c r="CS5" s="7">
        <v>35437.895623478333</v>
      </c>
      <c r="CT5" s="7">
        <v>35615.933526383946</v>
      </c>
      <c r="CU5" s="7">
        <v>35634.634593845905</v>
      </c>
      <c r="CV5" s="7">
        <v>35689.905354694405</v>
      </c>
      <c r="CW5" s="7">
        <v>35764.788363303662</v>
      </c>
      <c r="CX5" s="7">
        <v>35721.61110372324</v>
      </c>
      <c r="CY5" s="7">
        <v>35771.849683650835</v>
      </c>
      <c r="CZ5" s="7">
        <v>35814.345202312557</v>
      </c>
      <c r="DA5" s="7">
        <v>35867.584015874665</v>
      </c>
      <c r="DB5" s="7">
        <v>35903.615097548332</v>
      </c>
      <c r="DC5" s="7">
        <v>35904.50472640185</v>
      </c>
      <c r="DD5" s="7">
        <v>35879.389019377501</v>
      </c>
      <c r="DE5" s="7">
        <v>35713.134165261785</v>
      </c>
      <c r="DF5" s="7">
        <v>36230.961158814047</v>
      </c>
      <c r="DG5" s="7">
        <v>36275.332942812602</v>
      </c>
      <c r="DH5" s="7">
        <v>36253.74701010892</v>
      </c>
      <c r="DI5" s="7">
        <v>36397.873704152131</v>
      </c>
      <c r="DJ5" s="7">
        <v>36495.898298679655</v>
      </c>
      <c r="DK5" s="7">
        <v>36607.187329910848</v>
      </c>
      <c r="DL5" s="7">
        <v>36679.615405147742</v>
      </c>
      <c r="DM5" s="7">
        <v>36836.948594304929</v>
      </c>
      <c r="DN5" s="7">
        <v>36939.430664617037</v>
      </c>
      <c r="DO5" s="7">
        <v>36899.647298350552</v>
      </c>
      <c r="DP5" s="7">
        <v>36887.677247074847</v>
      </c>
      <c r="DQ5" s="7">
        <v>37084.93758192403</v>
      </c>
      <c r="DR5" s="7">
        <v>37636.498488854835</v>
      </c>
      <c r="DS5" s="7">
        <v>37593.335800911664</v>
      </c>
      <c r="DT5" s="7">
        <v>37703.35807687723</v>
      </c>
      <c r="DU5" s="7">
        <v>37631.909522828166</v>
      </c>
      <c r="DV5" s="7">
        <v>37617.394835560292</v>
      </c>
      <c r="DW5" s="7">
        <v>37726.823080957467</v>
      </c>
      <c r="DX5" s="7">
        <v>37693.997994365069</v>
      </c>
      <c r="DY5" s="7">
        <v>37859.69315354983</v>
      </c>
      <c r="DZ5" s="7">
        <v>37864.410652222257</v>
      </c>
      <c r="EA5" s="7">
        <v>37851.061718336612</v>
      </c>
      <c r="EB5" s="7">
        <v>37948.691039409736</v>
      </c>
      <c r="EC5" s="7">
        <v>38028.222334963873</v>
      </c>
      <c r="ED5" s="7">
        <v>38679.89155053268</v>
      </c>
      <c r="EE5" s="7">
        <v>38653.158188775065</v>
      </c>
      <c r="EF5" s="7">
        <v>38666.303167072554</v>
      </c>
      <c r="EG5" s="7">
        <v>38784.282973542315</v>
      </c>
      <c r="EH5" s="7">
        <v>38729.214610608928</v>
      </c>
      <c r="EI5" s="7">
        <v>38786.631205981168</v>
      </c>
    </row>
    <row r="6" spans="1:139" x14ac:dyDescent="0.3">
      <c r="A6" s="5" t="s">
        <v>15</v>
      </c>
      <c r="B6" s="6">
        <v>1262</v>
      </c>
      <c r="C6" s="6">
        <v>1262</v>
      </c>
      <c r="D6" s="6">
        <v>1276</v>
      </c>
      <c r="E6" s="6">
        <v>1259</v>
      </c>
      <c r="F6" s="6">
        <v>1295</v>
      </c>
      <c r="G6" s="6">
        <v>1298</v>
      </c>
      <c r="H6" s="6">
        <v>1300</v>
      </c>
      <c r="I6" s="6">
        <v>1319</v>
      </c>
      <c r="J6" s="6">
        <v>1343</v>
      </c>
      <c r="K6" s="6">
        <v>1331</v>
      </c>
      <c r="L6" s="6">
        <v>1370</v>
      </c>
      <c r="M6" s="6">
        <v>1334</v>
      </c>
      <c r="N6" s="6">
        <v>1348</v>
      </c>
      <c r="O6" s="6">
        <v>1358</v>
      </c>
      <c r="P6" s="6">
        <v>1379</v>
      </c>
      <c r="Q6" s="6">
        <v>1358</v>
      </c>
      <c r="R6" s="6">
        <v>1363</v>
      </c>
      <c r="S6" s="6">
        <v>1366</v>
      </c>
      <c r="T6" s="6">
        <v>1403</v>
      </c>
      <c r="U6" s="6">
        <v>1415</v>
      </c>
      <c r="V6" s="6">
        <v>1404</v>
      </c>
      <c r="W6" s="6">
        <v>1422</v>
      </c>
      <c r="X6" s="6">
        <v>1462</v>
      </c>
      <c r="Y6" s="6">
        <v>1463</v>
      </c>
      <c r="Z6" s="6">
        <v>1407</v>
      </c>
      <c r="AA6" s="6">
        <v>1479</v>
      </c>
      <c r="AB6" s="6">
        <v>1424</v>
      </c>
      <c r="AC6" s="6">
        <v>1400</v>
      </c>
      <c r="AD6" s="6">
        <v>1417</v>
      </c>
      <c r="AE6" s="6">
        <v>1423</v>
      </c>
      <c r="AF6" s="6">
        <v>1436</v>
      </c>
      <c r="AG6" s="6">
        <v>1477</v>
      </c>
      <c r="AH6" s="6">
        <v>1471</v>
      </c>
      <c r="AI6" s="6">
        <v>1481</v>
      </c>
      <c r="AJ6" s="6">
        <v>1473</v>
      </c>
      <c r="AK6" s="6">
        <v>1476</v>
      </c>
      <c r="AL6" s="6">
        <v>1498</v>
      </c>
      <c r="AM6" s="6">
        <v>1515</v>
      </c>
      <c r="AN6" s="6">
        <v>1524</v>
      </c>
      <c r="AO6" s="6">
        <v>1513</v>
      </c>
      <c r="AP6" s="6">
        <v>1513</v>
      </c>
      <c r="AQ6" s="6">
        <v>1535</v>
      </c>
      <c r="AR6" s="6">
        <v>1559</v>
      </c>
      <c r="AS6" s="6">
        <v>1545</v>
      </c>
      <c r="AT6" s="6">
        <v>1576</v>
      </c>
      <c r="AU6" s="6">
        <v>1569</v>
      </c>
      <c r="AV6" s="6">
        <v>1598</v>
      </c>
      <c r="AW6" s="6">
        <v>1594</v>
      </c>
      <c r="AX6" s="6">
        <v>1588</v>
      </c>
      <c r="AY6" s="6">
        <v>1619</v>
      </c>
      <c r="AZ6" s="6">
        <v>1611</v>
      </c>
      <c r="BA6" s="6">
        <v>1627</v>
      </c>
      <c r="BB6" s="6">
        <v>1619</v>
      </c>
      <c r="BC6" s="6">
        <v>1623</v>
      </c>
      <c r="BD6" s="6">
        <v>1676</v>
      </c>
      <c r="BE6" s="6">
        <v>1711</v>
      </c>
      <c r="BF6" s="6">
        <v>1648</v>
      </c>
      <c r="BG6" s="6">
        <v>1633</v>
      </c>
      <c r="BH6" s="6">
        <v>1620</v>
      </c>
      <c r="BI6" s="6">
        <v>1630</v>
      </c>
      <c r="BJ6" s="6">
        <v>1625</v>
      </c>
      <c r="BK6" s="6">
        <v>1618</v>
      </c>
      <c r="BL6" s="6">
        <v>1656</v>
      </c>
      <c r="BM6" s="6">
        <v>1622</v>
      </c>
      <c r="BN6" s="6">
        <v>1634</v>
      </c>
      <c r="BO6" s="6">
        <v>1625</v>
      </c>
      <c r="BP6" s="6">
        <v>1658</v>
      </c>
      <c r="BQ6" s="6">
        <v>1670</v>
      </c>
      <c r="BR6" s="6">
        <v>1639</v>
      </c>
      <c r="BS6" s="6">
        <v>1612</v>
      </c>
      <c r="BT6" s="6">
        <v>1661</v>
      </c>
      <c r="BU6" s="6">
        <v>1641</v>
      </c>
      <c r="BV6" s="6">
        <v>1649</v>
      </c>
      <c r="BW6" s="6">
        <v>1619</v>
      </c>
      <c r="BX6" s="6">
        <v>1663</v>
      </c>
      <c r="BY6" s="6">
        <v>1636</v>
      </c>
      <c r="BZ6" s="6">
        <v>1648</v>
      </c>
      <c r="CA6" s="6">
        <v>1664</v>
      </c>
      <c r="CB6" s="7">
        <v>1593.6391876761877</v>
      </c>
      <c r="CC6" s="7">
        <v>1587.9877811562753</v>
      </c>
      <c r="CD6" s="7">
        <v>1588.9723869713171</v>
      </c>
      <c r="CE6" s="7">
        <v>1587.4048731102125</v>
      </c>
      <c r="CF6" s="7">
        <v>1585.4963488843819</v>
      </c>
      <c r="CG6" s="7">
        <v>1673.9250691311966</v>
      </c>
      <c r="CH6" s="7">
        <v>1662.8555520091923</v>
      </c>
      <c r="CI6" s="7">
        <v>1659.8122375212447</v>
      </c>
      <c r="CJ6" s="7">
        <v>1655.3142569887423</v>
      </c>
      <c r="CK6" s="7">
        <v>1649.2419376307494</v>
      </c>
      <c r="CL6" s="7">
        <v>1648.1189266983672</v>
      </c>
      <c r="CM6" s="7">
        <v>1638.7185703346886</v>
      </c>
      <c r="CN6" s="7">
        <v>1629.6841540767323</v>
      </c>
      <c r="CO6" s="7">
        <v>1621.8084438093731</v>
      </c>
      <c r="CP6" s="7">
        <v>1620.5225927812828</v>
      </c>
      <c r="CQ6" s="7">
        <v>1618.2546297747244</v>
      </c>
      <c r="CR6" s="7">
        <v>1606.6801813145312</v>
      </c>
      <c r="CS6" s="7">
        <v>1690.4501366576146</v>
      </c>
      <c r="CT6" s="7">
        <v>1682.7355183089569</v>
      </c>
      <c r="CU6" s="7">
        <v>1684.3042759051191</v>
      </c>
      <c r="CV6" s="7">
        <v>1674.4843002604566</v>
      </c>
      <c r="CW6" s="7">
        <v>1671.0140703856728</v>
      </c>
      <c r="CX6" s="7">
        <v>1665.2750471938591</v>
      </c>
      <c r="CY6" s="7">
        <v>1657.7609237332235</v>
      </c>
      <c r="CZ6" s="7">
        <v>1658.2839009055024</v>
      </c>
      <c r="DA6" s="7">
        <v>1652.7913344497467</v>
      </c>
      <c r="DB6" s="7">
        <v>1648.990778504563</v>
      </c>
      <c r="DC6" s="7">
        <v>1645.7106824807329</v>
      </c>
      <c r="DD6" s="7">
        <v>1631.3789154857482</v>
      </c>
      <c r="DE6" s="7">
        <v>1720.8736398445276</v>
      </c>
      <c r="DF6" s="7">
        <v>1719.2059815104317</v>
      </c>
      <c r="DG6" s="7">
        <v>1719.0862494097416</v>
      </c>
      <c r="DH6" s="7">
        <v>1708.9520896184461</v>
      </c>
      <c r="DI6" s="7">
        <v>1706.468858927253</v>
      </c>
      <c r="DJ6" s="7">
        <v>1713.0759176154609</v>
      </c>
      <c r="DK6" s="7">
        <v>1706.2599868093937</v>
      </c>
      <c r="DL6" s="7">
        <v>1695.8346497629325</v>
      </c>
      <c r="DM6" s="7">
        <v>1696.3404029133264</v>
      </c>
      <c r="DN6" s="7">
        <v>1678.4132743911919</v>
      </c>
      <c r="DO6" s="7">
        <v>1682.543506868966</v>
      </c>
      <c r="DP6" s="7">
        <v>1653.3019773583337</v>
      </c>
      <c r="DQ6" s="7">
        <v>1760.494051750358</v>
      </c>
      <c r="DR6" s="7">
        <v>1756.4972439637418</v>
      </c>
      <c r="DS6" s="7">
        <v>1750.2962264719019</v>
      </c>
      <c r="DT6" s="7">
        <v>1752.7961881214603</v>
      </c>
      <c r="DU6" s="7">
        <v>1746.6074625517883</v>
      </c>
      <c r="DV6" s="7">
        <v>1739.8375234656794</v>
      </c>
      <c r="DW6" s="7">
        <v>1738.6277701014676</v>
      </c>
      <c r="DX6" s="7">
        <v>1739.3856560988547</v>
      </c>
      <c r="DY6" s="7">
        <v>1732.9271963639833</v>
      </c>
      <c r="DZ6" s="7">
        <v>1725.5399429255265</v>
      </c>
      <c r="EA6" s="7">
        <v>1725.7913752245543</v>
      </c>
      <c r="EB6" s="7">
        <v>1728.7328746140586</v>
      </c>
      <c r="EC6" s="7">
        <v>1814.5240640364118</v>
      </c>
      <c r="ED6" s="7">
        <v>1806.7555143524244</v>
      </c>
      <c r="EE6" s="7">
        <v>1813.6732144548646</v>
      </c>
      <c r="EF6" s="7">
        <v>1803.6247471026402</v>
      </c>
      <c r="EG6" s="7">
        <v>1800.7066845359982</v>
      </c>
      <c r="EH6" s="7">
        <v>1796.4249606520084</v>
      </c>
      <c r="EI6" s="7">
        <v>1802.6292703897197</v>
      </c>
    </row>
    <row r="7" spans="1:139" x14ac:dyDescent="0.3">
      <c r="A7" s="5" t="s">
        <v>16</v>
      </c>
      <c r="B7" s="6">
        <v>264</v>
      </c>
      <c r="C7" s="6">
        <v>256</v>
      </c>
      <c r="D7" s="6">
        <v>260</v>
      </c>
      <c r="E7" s="6">
        <v>265</v>
      </c>
      <c r="F7" s="6">
        <v>258</v>
      </c>
      <c r="G7" s="6">
        <v>258</v>
      </c>
      <c r="H7" s="6">
        <v>254</v>
      </c>
      <c r="I7" s="6">
        <v>255</v>
      </c>
      <c r="J7" s="6">
        <v>254</v>
      </c>
      <c r="K7" s="6">
        <v>258</v>
      </c>
      <c r="L7" s="6">
        <v>259</v>
      </c>
      <c r="M7" s="6">
        <v>259</v>
      </c>
      <c r="N7" s="6">
        <v>258</v>
      </c>
      <c r="O7" s="6">
        <v>256</v>
      </c>
      <c r="P7" s="6">
        <v>251</v>
      </c>
      <c r="Q7" s="6">
        <v>244</v>
      </c>
      <c r="R7" s="6">
        <v>253</v>
      </c>
      <c r="S7" s="6">
        <v>243</v>
      </c>
      <c r="T7" s="6">
        <v>248</v>
      </c>
      <c r="U7" s="6">
        <v>248</v>
      </c>
      <c r="V7" s="6">
        <v>249</v>
      </c>
      <c r="W7" s="6">
        <v>252</v>
      </c>
      <c r="X7" s="6">
        <v>261</v>
      </c>
      <c r="Y7" s="6">
        <v>256</v>
      </c>
      <c r="Z7" s="6">
        <v>237</v>
      </c>
      <c r="AA7" s="6">
        <v>300</v>
      </c>
      <c r="AB7" s="6">
        <v>240</v>
      </c>
      <c r="AC7" s="6">
        <v>234</v>
      </c>
      <c r="AD7" s="6">
        <v>255</v>
      </c>
      <c r="AE7" s="6">
        <v>234</v>
      </c>
      <c r="AF7" s="6">
        <v>232</v>
      </c>
      <c r="AG7" s="6">
        <v>233</v>
      </c>
      <c r="AH7" s="6">
        <v>241</v>
      </c>
      <c r="AI7" s="6">
        <v>243</v>
      </c>
      <c r="AJ7" s="6">
        <v>236</v>
      </c>
      <c r="AK7" s="6">
        <v>242</v>
      </c>
      <c r="AL7" s="6">
        <v>228</v>
      </c>
      <c r="AM7" s="6">
        <v>240</v>
      </c>
      <c r="AN7" s="6">
        <v>226</v>
      </c>
      <c r="AO7" s="6">
        <v>225</v>
      </c>
      <c r="AP7" s="6">
        <v>221</v>
      </c>
      <c r="AQ7" s="6">
        <v>227</v>
      </c>
      <c r="AR7" s="6">
        <v>242</v>
      </c>
      <c r="AS7" s="6">
        <v>225</v>
      </c>
      <c r="AT7" s="6">
        <v>229</v>
      </c>
      <c r="AU7" s="6">
        <v>234</v>
      </c>
      <c r="AV7" s="6">
        <v>225</v>
      </c>
      <c r="AW7" s="6">
        <v>232</v>
      </c>
      <c r="AX7" s="6">
        <v>239</v>
      </c>
      <c r="AY7" s="6">
        <v>240</v>
      </c>
      <c r="AZ7" s="6">
        <v>230</v>
      </c>
      <c r="BA7" s="6">
        <v>233</v>
      </c>
      <c r="BB7" s="6">
        <v>228</v>
      </c>
      <c r="BC7" s="6">
        <v>251</v>
      </c>
      <c r="BD7" s="6">
        <v>235</v>
      </c>
      <c r="BE7" s="6">
        <v>237</v>
      </c>
      <c r="BF7" s="6">
        <v>242</v>
      </c>
      <c r="BG7" s="6">
        <v>235</v>
      </c>
      <c r="BH7" s="6">
        <v>238</v>
      </c>
      <c r="BI7" s="6">
        <v>237</v>
      </c>
      <c r="BJ7" s="6">
        <v>232</v>
      </c>
      <c r="BK7" s="6">
        <v>238</v>
      </c>
      <c r="BL7" s="6">
        <v>249</v>
      </c>
      <c r="BM7" s="6">
        <v>250</v>
      </c>
      <c r="BN7" s="6">
        <v>249</v>
      </c>
      <c r="BO7" s="6">
        <v>256</v>
      </c>
      <c r="BP7" s="6">
        <v>250</v>
      </c>
      <c r="BQ7" s="6">
        <v>243</v>
      </c>
      <c r="BR7" s="6">
        <v>238</v>
      </c>
      <c r="BS7" s="6">
        <v>239</v>
      </c>
      <c r="BT7" s="6">
        <v>252</v>
      </c>
      <c r="BU7" s="6">
        <v>245</v>
      </c>
      <c r="BV7" s="6">
        <v>253</v>
      </c>
      <c r="BW7" s="6">
        <v>249</v>
      </c>
      <c r="BX7" s="6">
        <v>247</v>
      </c>
      <c r="BY7" s="6">
        <v>253</v>
      </c>
      <c r="BZ7" s="6">
        <v>246</v>
      </c>
      <c r="CA7" s="6">
        <v>252</v>
      </c>
      <c r="CB7" s="7">
        <v>223.46527777777777</v>
      </c>
      <c r="CC7" s="7">
        <v>223.4652777777778</v>
      </c>
      <c r="CD7" s="7">
        <v>223.46527777777774</v>
      </c>
      <c r="CE7" s="7">
        <v>223.46527777777771</v>
      </c>
      <c r="CF7" s="7">
        <v>223.46527777777777</v>
      </c>
      <c r="CG7" s="7">
        <v>246.46527777777771</v>
      </c>
      <c r="CH7" s="7">
        <v>246.46527777777771</v>
      </c>
      <c r="CI7" s="7">
        <v>246.46527777777771</v>
      </c>
      <c r="CJ7" s="7">
        <v>246.46527777777774</v>
      </c>
      <c r="CK7" s="7">
        <v>246.46527777777771</v>
      </c>
      <c r="CL7" s="7">
        <v>246.46527777777774</v>
      </c>
      <c r="CM7" s="7">
        <v>246.46527777777766</v>
      </c>
      <c r="CN7" s="7">
        <v>244.5972222222222</v>
      </c>
      <c r="CO7" s="7">
        <v>244.5972222222222</v>
      </c>
      <c r="CP7" s="7">
        <v>244.59722222222217</v>
      </c>
      <c r="CQ7" s="7">
        <v>244.59722222222217</v>
      </c>
      <c r="CR7" s="7">
        <v>244.59722222222217</v>
      </c>
      <c r="CS7" s="7">
        <v>266.59722222222223</v>
      </c>
      <c r="CT7" s="7">
        <v>266.59722222222217</v>
      </c>
      <c r="CU7" s="7">
        <v>266.59722222222217</v>
      </c>
      <c r="CV7" s="7">
        <v>266.59722222222223</v>
      </c>
      <c r="CW7" s="7">
        <v>266.59722222222217</v>
      </c>
      <c r="CX7" s="7">
        <v>266.59722222222229</v>
      </c>
      <c r="CY7" s="7">
        <v>265.22300973654063</v>
      </c>
      <c r="CZ7" s="7">
        <v>263.36468962585025</v>
      </c>
      <c r="DA7" s="7">
        <v>263.40155431486073</v>
      </c>
      <c r="DB7" s="7">
        <v>263.40804183813435</v>
      </c>
      <c r="DC7" s="7">
        <v>263.37494725738395</v>
      </c>
      <c r="DD7" s="7">
        <v>263.41446560196556</v>
      </c>
      <c r="DE7" s="7">
        <v>286.24358837737987</v>
      </c>
      <c r="DF7" s="7">
        <v>286.30144348894345</v>
      </c>
      <c r="DG7" s="7">
        <v>286.21676070601842</v>
      </c>
      <c r="DH7" s="7">
        <v>286.19297472075243</v>
      </c>
      <c r="DI7" s="7">
        <v>286.17669340463453</v>
      </c>
      <c r="DJ7" s="7">
        <v>286.20891506689929</v>
      </c>
      <c r="DK7" s="7">
        <v>286.3152034333603</v>
      </c>
      <c r="DL7" s="7">
        <v>284.01604656222793</v>
      </c>
      <c r="DM7" s="7">
        <v>284.03145635946021</v>
      </c>
      <c r="DN7" s="7">
        <v>284.07223618090455</v>
      </c>
      <c r="DO7" s="7">
        <v>284.01214368819075</v>
      </c>
      <c r="DP7" s="7">
        <v>284.06133966244727</v>
      </c>
      <c r="DQ7" s="7">
        <v>312.9576491516147</v>
      </c>
      <c r="DR7" s="7">
        <v>312.94997937293726</v>
      </c>
      <c r="DS7" s="7">
        <v>312.89408831908833</v>
      </c>
      <c r="DT7" s="7">
        <v>312.9344097222222</v>
      </c>
      <c r="DU7" s="7">
        <v>312.88577462772054</v>
      </c>
      <c r="DV7" s="7">
        <v>312.90640019790789</v>
      </c>
      <c r="DW7" s="7">
        <v>312.86461053089641</v>
      </c>
      <c r="DX7" s="7">
        <v>310.3197337962963</v>
      </c>
      <c r="DY7" s="7">
        <v>310.36097010716298</v>
      </c>
      <c r="DZ7" s="7">
        <v>308.66081871345034</v>
      </c>
      <c r="EA7" s="7">
        <v>308.72852233676974</v>
      </c>
      <c r="EB7" s="7">
        <v>308.67801047120417</v>
      </c>
      <c r="EC7" s="7">
        <v>340.29516651930436</v>
      </c>
      <c r="ED7" s="7">
        <v>338.63938874607254</v>
      </c>
      <c r="EE7" s="7">
        <v>339.69821673525382</v>
      </c>
      <c r="EF7" s="7">
        <v>339.68770627062707</v>
      </c>
      <c r="EG7" s="7">
        <v>339.64513888888888</v>
      </c>
      <c r="EH7" s="7">
        <v>339.85959356030611</v>
      </c>
      <c r="EI7" s="7">
        <v>338.01436781609192</v>
      </c>
    </row>
    <row r="8" spans="1:139" x14ac:dyDescent="0.3">
      <c r="A8" s="5" t="s">
        <v>17</v>
      </c>
      <c r="B8" s="6">
        <v>263</v>
      </c>
      <c r="C8" s="6">
        <v>255</v>
      </c>
      <c r="D8" s="6">
        <v>259</v>
      </c>
      <c r="E8" s="6">
        <v>264</v>
      </c>
      <c r="F8" s="6">
        <v>257</v>
      </c>
      <c r="G8" s="6">
        <v>257</v>
      </c>
      <c r="H8" s="6">
        <v>253</v>
      </c>
      <c r="I8" s="6">
        <v>254</v>
      </c>
      <c r="J8" s="6">
        <v>253</v>
      </c>
      <c r="K8" s="6">
        <v>257</v>
      </c>
      <c r="L8" s="6">
        <v>258</v>
      </c>
      <c r="M8" s="6">
        <v>258</v>
      </c>
      <c r="N8" s="6">
        <v>257</v>
      </c>
      <c r="O8" s="6">
        <v>256</v>
      </c>
      <c r="P8" s="6">
        <v>250</v>
      </c>
      <c r="Q8" s="6">
        <v>243</v>
      </c>
      <c r="R8" s="6">
        <v>252</v>
      </c>
      <c r="S8" s="6">
        <v>242</v>
      </c>
      <c r="T8" s="6">
        <v>247</v>
      </c>
      <c r="U8" s="6">
        <v>248</v>
      </c>
      <c r="V8" s="6">
        <v>248</v>
      </c>
      <c r="W8" s="6">
        <v>251</v>
      </c>
      <c r="X8" s="6">
        <v>260</v>
      </c>
      <c r="Y8" s="6">
        <v>255</v>
      </c>
      <c r="Z8" s="6">
        <v>236</v>
      </c>
      <c r="AA8" s="6">
        <v>299</v>
      </c>
      <c r="AB8" s="6">
        <v>239</v>
      </c>
      <c r="AC8" s="6">
        <v>233</v>
      </c>
      <c r="AD8" s="6">
        <v>254</v>
      </c>
      <c r="AE8" s="6">
        <v>233</v>
      </c>
      <c r="AF8" s="6">
        <v>231</v>
      </c>
      <c r="AG8" s="6">
        <v>232</v>
      </c>
      <c r="AH8" s="6">
        <v>240</v>
      </c>
      <c r="AI8" s="6">
        <v>242</v>
      </c>
      <c r="AJ8" s="6">
        <v>235</v>
      </c>
      <c r="AK8" s="6">
        <v>241</v>
      </c>
      <c r="AL8" s="6">
        <v>227</v>
      </c>
      <c r="AM8" s="6">
        <v>239</v>
      </c>
      <c r="AN8" s="6">
        <v>225</v>
      </c>
      <c r="AO8" s="6">
        <v>224</v>
      </c>
      <c r="AP8" s="6">
        <v>220</v>
      </c>
      <c r="AQ8" s="6">
        <v>226</v>
      </c>
      <c r="AR8" s="6">
        <v>241</v>
      </c>
      <c r="AS8" s="6">
        <v>224</v>
      </c>
      <c r="AT8" s="6">
        <v>228</v>
      </c>
      <c r="AU8" s="6">
        <v>233</v>
      </c>
      <c r="AV8" s="6">
        <v>224</v>
      </c>
      <c r="AW8" s="6">
        <v>231</v>
      </c>
      <c r="AX8" s="6">
        <v>238</v>
      </c>
      <c r="AY8" s="6">
        <v>239</v>
      </c>
      <c r="AZ8" s="6">
        <v>228</v>
      </c>
      <c r="BA8" s="6">
        <v>231</v>
      </c>
      <c r="BB8" s="6">
        <v>226</v>
      </c>
      <c r="BC8" s="6">
        <v>249</v>
      </c>
      <c r="BD8" s="6">
        <v>233</v>
      </c>
      <c r="BE8" s="6">
        <v>235</v>
      </c>
      <c r="BF8" s="6">
        <v>240</v>
      </c>
      <c r="BG8" s="6">
        <v>233</v>
      </c>
      <c r="BH8" s="6">
        <v>236</v>
      </c>
      <c r="BI8" s="6">
        <v>235</v>
      </c>
      <c r="BJ8" s="6">
        <v>230</v>
      </c>
      <c r="BK8" s="6">
        <v>236</v>
      </c>
      <c r="BL8" s="6">
        <v>247</v>
      </c>
      <c r="BM8" s="6">
        <v>248</v>
      </c>
      <c r="BN8" s="6">
        <v>247</v>
      </c>
      <c r="BO8" s="6">
        <v>254</v>
      </c>
      <c r="BP8" s="6">
        <v>248</v>
      </c>
      <c r="BQ8" s="6">
        <v>241</v>
      </c>
      <c r="BR8" s="6">
        <v>236</v>
      </c>
      <c r="BS8" s="6">
        <v>237</v>
      </c>
      <c r="BT8" s="6">
        <v>249</v>
      </c>
      <c r="BU8" s="6">
        <v>242</v>
      </c>
      <c r="BV8" s="6">
        <v>250</v>
      </c>
      <c r="BW8" s="6">
        <v>246</v>
      </c>
      <c r="BX8" s="6">
        <v>244</v>
      </c>
      <c r="BY8" s="6">
        <v>250</v>
      </c>
      <c r="BZ8" s="6">
        <v>243</v>
      </c>
      <c r="CA8" s="6">
        <v>249</v>
      </c>
      <c r="CB8" s="7">
        <v>221.46527777777777</v>
      </c>
      <c r="CC8" s="7">
        <v>221.4652777777778</v>
      </c>
      <c r="CD8" s="7">
        <v>221.46527777777774</v>
      </c>
      <c r="CE8" s="7">
        <v>221.46527777777771</v>
      </c>
      <c r="CF8" s="7">
        <v>221.46527777777777</v>
      </c>
      <c r="CG8" s="7">
        <v>243.46527777777771</v>
      </c>
      <c r="CH8" s="7">
        <v>243.46527777777771</v>
      </c>
      <c r="CI8" s="7">
        <v>243.46527777777771</v>
      </c>
      <c r="CJ8" s="7">
        <v>243.46527777777774</v>
      </c>
      <c r="CK8" s="7">
        <v>243.46527777777771</v>
      </c>
      <c r="CL8" s="7">
        <v>243.46527777777774</v>
      </c>
      <c r="CM8" s="7">
        <v>243.46527777777766</v>
      </c>
      <c r="CN8" s="7">
        <v>240.5972222222222</v>
      </c>
      <c r="CO8" s="7">
        <v>240.5972222222222</v>
      </c>
      <c r="CP8" s="7">
        <v>240.59722222222217</v>
      </c>
      <c r="CQ8" s="7">
        <v>240.59722222222217</v>
      </c>
      <c r="CR8" s="7">
        <v>240.59722222222217</v>
      </c>
      <c r="CS8" s="7">
        <v>262.59722222222223</v>
      </c>
      <c r="CT8" s="7">
        <v>262.59722222222217</v>
      </c>
      <c r="CU8" s="7">
        <v>262.59722222222217</v>
      </c>
      <c r="CV8" s="7">
        <v>262.59722222222223</v>
      </c>
      <c r="CW8" s="7">
        <v>262.59722222222217</v>
      </c>
      <c r="CX8" s="7">
        <v>262.59722222222229</v>
      </c>
      <c r="CY8" s="7">
        <v>261.22300973654063</v>
      </c>
      <c r="CZ8" s="7">
        <v>259.36468962585025</v>
      </c>
      <c r="DA8" s="7">
        <v>259.40155431486073</v>
      </c>
      <c r="DB8" s="7">
        <v>259.40804183813435</v>
      </c>
      <c r="DC8" s="7">
        <v>259.37494725738395</v>
      </c>
      <c r="DD8" s="7">
        <v>259.41446560196556</v>
      </c>
      <c r="DE8" s="7">
        <v>282.24358837737987</v>
      </c>
      <c r="DF8" s="7">
        <v>282.30144348894345</v>
      </c>
      <c r="DG8" s="7">
        <v>282.21676070601842</v>
      </c>
      <c r="DH8" s="7">
        <v>282.19297472075243</v>
      </c>
      <c r="DI8" s="7">
        <v>282.17669340463453</v>
      </c>
      <c r="DJ8" s="7">
        <v>282.20891506689929</v>
      </c>
      <c r="DK8" s="7">
        <v>282.3152034333603</v>
      </c>
      <c r="DL8" s="7">
        <v>280.01604656222793</v>
      </c>
      <c r="DM8" s="7">
        <v>280.03145635946021</v>
      </c>
      <c r="DN8" s="7">
        <v>280.07223618090455</v>
      </c>
      <c r="DO8" s="7">
        <v>280.01214368819075</v>
      </c>
      <c r="DP8" s="7">
        <v>280.06133966244727</v>
      </c>
      <c r="DQ8" s="7">
        <v>308.9576491516147</v>
      </c>
      <c r="DR8" s="7">
        <v>308.94997937293726</v>
      </c>
      <c r="DS8" s="7">
        <v>308.89408831908833</v>
      </c>
      <c r="DT8" s="7">
        <v>308.9344097222222</v>
      </c>
      <c r="DU8" s="7">
        <v>308.88577462772054</v>
      </c>
      <c r="DV8" s="7">
        <v>308.90640019790789</v>
      </c>
      <c r="DW8" s="7">
        <v>308.86461053089641</v>
      </c>
      <c r="DX8" s="7">
        <v>306.3197337962963</v>
      </c>
      <c r="DY8" s="7">
        <v>306.36097010716298</v>
      </c>
      <c r="DZ8" s="7">
        <v>304.66081871345034</v>
      </c>
      <c r="EA8" s="7">
        <v>304.72852233676974</v>
      </c>
      <c r="EB8" s="7">
        <v>304.67801047120417</v>
      </c>
      <c r="EC8" s="7">
        <v>336.29516651930436</v>
      </c>
      <c r="ED8" s="7">
        <v>334.63938874607254</v>
      </c>
      <c r="EE8" s="7">
        <v>335.69821673525382</v>
      </c>
      <c r="EF8" s="7">
        <v>335.68770627062707</v>
      </c>
      <c r="EG8" s="7">
        <v>335.64513888888888</v>
      </c>
      <c r="EH8" s="7">
        <v>335.85959356030611</v>
      </c>
      <c r="EI8" s="7">
        <v>334.01436781609192</v>
      </c>
    </row>
    <row r="9" spans="1:139" x14ac:dyDescent="0.3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7">
        <v>1</v>
      </c>
      <c r="CT9" s="7">
        <v>1</v>
      </c>
      <c r="CU9" s="7">
        <v>1</v>
      </c>
      <c r="CV9" s="7">
        <v>1</v>
      </c>
      <c r="CW9" s="7">
        <v>1</v>
      </c>
      <c r="CX9" s="7">
        <v>1</v>
      </c>
      <c r="CY9" s="7">
        <v>1</v>
      </c>
      <c r="CZ9" s="7">
        <v>1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1</v>
      </c>
      <c r="DH9" s="7">
        <v>1</v>
      </c>
      <c r="DI9" s="7">
        <v>1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1</v>
      </c>
      <c r="DQ9" s="7">
        <v>1</v>
      </c>
      <c r="DR9" s="7">
        <v>1</v>
      </c>
      <c r="DS9" s="7">
        <v>1</v>
      </c>
      <c r="DT9" s="7">
        <v>1</v>
      </c>
      <c r="DU9" s="7">
        <v>1</v>
      </c>
      <c r="DV9" s="7">
        <v>1</v>
      </c>
      <c r="DW9" s="7">
        <v>1</v>
      </c>
      <c r="DX9" s="7">
        <v>1</v>
      </c>
      <c r="DY9" s="7">
        <v>1</v>
      </c>
      <c r="DZ9" s="7">
        <v>1</v>
      </c>
      <c r="EA9" s="7">
        <v>1</v>
      </c>
      <c r="EB9" s="7">
        <v>1</v>
      </c>
      <c r="EC9" s="7">
        <v>1</v>
      </c>
      <c r="ED9" s="7">
        <v>1</v>
      </c>
      <c r="EE9" s="7">
        <v>1</v>
      </c>
      <c r="EF9" s="7">
        <v>1</v>
      </c>
      <c r="EG9" s="7">
        <v>1</v>
      </c>
      <c r="EH9" s="7">
        <v>1</v>
      </c>
      <c r="EI9" s="7">
        <v>1</v>
      </c>
    </row>
    <row r="10" spans="1:139" x14ac:dyDescent="0.3">
      <c r="A10" s="5" t="s">
        <v>19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0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0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6">
        <v>2</v>
      </c>
      <c r="BA10" s="6">
        <v>2</v>
      </c>
      <c r="BB10" s="6">
        <v>2</v>
      </c>
      <c r="BC10" s="6">
        <v>2</v>
      </c>
      <c r="BD10" s="6">
        <v>2</v>
      </c>
      <c r="BE10" s="6">
        <v>2</v>
      </c>
      <c r="BF10" s="6">
        <v>2</v>
      </c>
      <c r="BG10" s="6">
        <v>2</v>
      </c>
      <c r="BH10" s="6">
        <v>2</v>
      </c>
      <c r="BI10" s="6">
        <v>2</v>
      </c>
      <c r="BJ10" s="6">
        <v>2</v>
      </c>
      <c r="BK10" s="6">
        <v>2</v>
      </c>
      <c r="BL10" s="6">
        <v>2</v>
      </c>
      <c r="BM10" s="6">
        <v>2</v>
      </c>
      <c r="BN10" s="6">
        <v>2</v>
      </c>
      <c r="BO10" s="6">
        <v>2</v>
      </c>
      <c r="BP10" s="6">
        <v>2</v>
      </c>
      <c r="BQ10" s="6">
        <v>2</v>
      </c>
      <c r="BR10" s="6">
        <v>2</v>
      </c>
      <c r="BS10" s="6">
        <v>2</v>
      </c>
      <c r="BT10" s="6">
        <v>3</v>
      </c>
      <c r="BU10" s="6">
        <v>3</v>
      </c>
      <c r="BV10" s="6">
        <v>3</v>
      </c>
      <c r="BW10" s="6">
        <v>3</v>
      </c>
      <c r="BX10" s="6">
        <v>3</v>
      </c>
      <c r="BY10" s="6">
        <v>3</v>
      </c>
      <c r="BZ10" s="6">
        <v>3</v>
      </c>
      <c r="CA10" s="6">
        <v>3</v>
      </c>
      <c r="CB10" s="7">
        <v>2</v>
      </c>
      <c r="CC10" s="7">
        <v>2</v>
      </c>
      <c r="CD10" s="7">
        <v>2</v>
      </c>
      <c r="CE10" s="7">
        <v>2</v>
      </c>
      <c r="CF10" s="7">
        <v>2</v>
      </c>
      <c r="CG10" s="7">
        <v>3</v>
      </c>
      <c r="CH10" s="7">
        <v>3</v>
      </c>
      <c r="CI10" s="7">
        <v>3</v>
      </c>
      <c r="CJ10" s="7">
        <v>3</v>
      </c>
      <c r="CK10" s="7">
        <v>3</v>
      </c>
      <c r="CL10" s="7">
        <v>3</v>
      </c>
      <c r="CM10" s="7">
        <v>3</v>
      </c>
      <c r="CN10" s="7">
        <v>3</v>
      </c>
      <c r="CO10" s="7">
        <v>3</v>
      </c>
      <c r="CP10" s="7">
        <v>3</v>
      </c>
      <c r="CQ10" s="7">
        <v>3</v>
      </c>
      <c r="CR10" s="7">
        <v>3</v>
      </c>
      <c r="CS10" s="7">
        <v>3</v>
      </c>
      <c r="CT10" s="7">
        <v>3</v>
      </c>
      <c r="CU10" s="7">
        <v>3</v>
      </c>
      <c r="CV10" s="7">
        <v>3</v>
      </c>
      <c r="CW10" s="7">
        <v>3</v>
      </c>
      <c r="CX10" s="7">
        <v>3</v>
      </c>
      <c r="CY10" s="7">
        <v>3</v>
      </c>
      <c r="CZ10" s="7">
        <v>3</v>
      </c>
      <c r="DA10" s="7">
        <v>3</v>
      </c>
      <c r="DB10" s="7">
        <v>3</v>
      </c>
      <c r="DC10" s="7">
        <v>3</v>
      </c>
      <c r="DD10" s="7">
        <v>3</v>
      </c>
      <c r="DE10" s="7">
        <v>3</v>
      </c>
      <c r="DF10" s="7">
        <v>3</v>
      </c>
      <c r="DG10" s="7">
        <v>3</v>
      </c>
      <c r="DH10" s="7">
        <v>3</v>
      </c>
      <c r="DI10" s="7">
        <v>3</v>
      </c>
      <c r="DJ10" s="7">
        <v>3</v>
      </c>
      <c r="DK10" s="7">
        <v>3</v>
      </c>
      <c r="DL10" s="7">
        <v>3</v>
      </c>
      <c r="DM10" s="7">
        <v>3</v>
      </c>
      <c r="DN10" s="7">
        <v>3</v>
      </c>
      <c r="DO10" s="7">
        <v>3</v>
      </c>
      <c r="DP10" s="7">
        <v>3</v>
      </c>
      <c r="DQ10" s="7">
        <v>3</v>
      </c>
      <c r="DR10" s="7">
        <v>3</v>
      </c>
      <c r="DS10" s="7">
        <v>3</v>
      </c>
      <c r="DT10" s="7">
        <v>3</v>
      </c>
      <c r="DU10" s="7">
        <v>3</v>
      </c>
      <c r="DV10" s="7">
        <v>3</v>
      </c>
      <c r="DW10" s="7">
        <v>3</v>
      </c>
      <c r="DX10" s="7">
        <v>3</v>
      </c>
      <c r="DY10" s="7">
        <v>3</v>
      </c>
      <c r="DZ10" s="7">
        <v>3</v>
      </c>
      <c r="EA10" s="7">
        <v>3</v>
      </c>
      <c r="EB10" s="7">
        <v>3</v>
      </c>
      <c r="EC10" s="7">
        <v>3</v>
      </c>
      <c r="ED10" s="7">
        <v>3</v>
      </c>
      <c r="EE10" s="7">
        <v>3</v>
      </c>
      <c r="EF10" s="7">
        <v>3</v>
      </c>
      <c r="EG10" s="7">
        <v>3</v>
      </c>
      <c r="EH10" s="7">
        <v>3</v>
      </c>
      <c r="EI10" s="7">
        <v>3</v>
      </c>
    </row>
    <row r="11" spans="1:139" x14ac:dyDescent="0.3">
      <c r="A11" s="5" t="s">
        <v>20</v>
      </c>
      <c r="B11" s="6">
        <v>30</v>
      </c>
      <c r="C11" s="6">
        <v>30</v>
      </c>
      <c r="D11" s="6">
        <v>31</v>
      </c>
      <c r="E11" s="6">
        <v>30</v>
      </c>
      <c r="F11" s="6">
        <v>30</v>
      </c>
      <c r="G11" s="6">
        <v>30</v>
      </c>
      <c r="H11" s="6">
        <v>30</v>
      </c>
      <c r="I11" s="6">
        <v>31</v>
      </c>
      <c r="J11" s="6">
        <v>33</v>
      </c>
      <c r="K11" s="6">
        <v>30</v>
      </c>
      <c r="L11" s="6">
        <v>31</v>
      </c>
      <c r="M11" s="6">
        <v>31</v>
      </c>
      <c r="N11" s="6">
        <v>43</v>
      </c>
      <c r="O11" s="6">
        <v>34</v>
      </c>
      <c r="P11" s="6">
        <v>36</v>
      </c>
      <c r="Q11" s="6">
        <v>34</v>
      </c>
      <c r="R11" s="6">
        <v>39</v>
      </c>
      <c r="S11" s="6">
        <v>44</v>
      </c>
      <c r="T11" s="6">
        <v>41</v>
      </c>
      <c r="U11" s="6">
        <v>37</v>
      </c>
      <c r="V11" s="6">
        <v>33</v>
      </c>
      <c r="W11" s="6">
        <v>34</v>
      </c>
      <c r="X11" s="6">
        <v>34</v>
      </c>
      <c r="Y11" s="6">
        <v>37</v>
      </c>
      <c r="Z11" s="6">
        <v>37</v>
      </c>
      <c r="AA11" s="6">
        <v>34</v>
      </c>
      <c r="AB11" s="6">
        <v>34</v>
      </c>
      <c r="AC11" s="6">
        <v>35</v>
      </c>
      <c r="AD11" s="6">
        <v>36</v>
      </c>
      <c r="AE11" s="6">
        <v>36</v>
      </c>
      <c r="AF11" s="6">
        <v>36</v>
      </c>
      <c r="AG11" s="6">
        <v>38</v>
      </c>
      <c r="AH11" s="6">
        <v>40</v>
      </c>
      <c r="AI11" s="6">
        <v>37</v>
      </c>
      <c r="AJ11" s="6">
        <v>35</v>
      </c>
      <c r="AK11" s="6">
        <v>36</v>
      </c>
      <c r="AL11" s="6">
        <v>40</v>
      </c>
      <c r="AM11" s="6">
        <v>40</v>
      </c>
      <c r="AN11" s="6">
        <v>39</v>
      </c>
      <c r="AO11" s="6">
        <v>41</v>
      </c>
      <c r="AP11" s="6">
        <v>44</v>
      </c>
      <c r="AQ11" s="6">
        <v>41</v>
      </c>
      <c r="AR11" s="6">
        <v>42</v>
      </c>
      <c r="AS11" s="6">
        <v>40</v>
      </c>
      <c r="AT11" s="6">
        <v>41</v>
      </c>
      <c r="AU11" s="6">
        <v>38</v>
      </c>
      <c r="AV11" s="6">
        <v>39</v>
      </c>
      <c r="AW11" s="6">
        <v>39</v>
      </c>
      <c r="AX11" s="6">
        <v>42</v>
      </c>
      <c r="AY11" s="6">
        <v>43</v>
      </c>
      <c r="AZ11" s="6">
        <v>41</v>
      </c>
      <c r="BA11" s="6">
        <v>41</v>
      </c>
      <c r="BB11" s="6">
        <v>41</v>
      </c>
      <c r="BC11" s="6">
        <v>43</v>
      </c>
      <c r="BD11" s="6">
        <v>43</v>
      </c>
      <c r="BE11" s="6">
        <v>45</v>
      </c>
      <c r="BF11" s="6">
        <v>42</v>
      </c>
      <c r="BG11" s="6">
        <v>42</v>
      </c>
      <c r="BH11" s="6">
        <v>43</v>
      </c>
      <c r="BI11" s="6">
        <v>43</v>
      </c>
      <c r="BJ11" s="6">
        <v>43</v>
      </c>
      <c r="BK11" s="6">
        <v>43</v>
      </c>
      <c r="BL11" s="6">
        <v>45</v>
      </c>
      <c r="BM11" s="6">
        <v>44</v>
      </c>
      <c r="BN11" s="6">
        <v>44</v>
      </c>
      <c r="BO11" s="6">
        <v>45</v>
      </c>
      <c r="BP11" s="6">
        <v>51</v>
      </c>
      <c r="BQ11" s="6">
        <v>53</v>
      </c>
      <c r="BR11" s="6">
        <v>44</v>
      </c>
      <c r="BS11" s="6">
        <v>46</v>
      </c>
      <c r="BT11" s="6">
        <v>44</v>
      </c>
      <c r="BU11" s="6">
        <v>45</v>
      </c>
      <c r="BV11" s="6">
        <v>43</v>
      </c>
      <c r="BW11" s="6">
        <v>45</v>
      </c>
      <c r="BX11" s="6">
        <v>48</v>
      </c>
      <c r="BY11" s="6">
        <v>38</v>
      </c>
      <c r="BZ11" s="6">
        <v>39</v>
      </c>
      <c r="CA11" s="6">
        <v>39</v>
      </c>
      <c r="CB11" s="7">
        <v>40.947987616099084</v>
      </c>
      <c r="CC11" s="7">
        <v>40.946749226006197</v>
      </c>
      <c r="CD11" s="7">
        <v>40.946749226006183</v>
      </c>
      <c r="CE11" s="7">
        <v>40.921981424148598</v>
      </c>
      <c r="CF11" s="7">
        <v>40.921981424148598</v>
      </c>
      <c r="CG11" s="7">
        <v>42.03839009287924</v>
      </c>
      <c r="CH11" s="7">
        <v>42.03839009287924</v>
      </c>
      <c r="CI11" s="7">
        <v>40.870657034743701</v>
      </c>
      <c r="CJ11" s="7">
        <v>40.801966854853383</v>
      </c>
      <c r="CK11" s="7">
        <v>39.882575216321356</v>
      </c>
      <c r="CL11" s="7">
        <v>40.127554179566573</v>
      </c>
      <c r="CM11" s="7">
        <v>41.013063505248049</v>
      </c>
      <c r="CN11" s="7">
        <v>40.89257802694334</v>
      </c>
      <c r="CO11" s="7">
        <v>40.748888263439319</v>
      </c>
      <c r="CP11" s="7">
        <v>40.77672555090146</v>
      </c>
      <c r="CQ11" s="7">
        <v>40.767109816062629</v>
      </c>
      <c r="CR11" s="7">
        <v>40.858840264413011</v>
      </c>
      <c r="CS11" s="7">
        <v>41.943603045770246</v>
      </c>
      <c r="CT11" s="7">
        <v>40.563572714947675</v>
      </c>
      <c r="CU11" s="7">
        <v>39.286928104575175</v>
      </c>
      <c r="CV11" s="7">
        <v>40.617325667108965</v>
      </c>
      <c r="CW11" s="7">
        <v>39.479985093452598</v>
      </c>
      <c r="CX11" s="7">
        <v>39.470903566104795</v>
      </c>
      <c r="CY11" s="7">
        <v>39.46863318426788</v>
      </c>
      <c r="CZ11" s="7">
        <v>39.648353339489056</v>
      </c>
      <c r="DA11" s="7">
        <v>39.810256277949776</v>
      </c>
      <c r="DB11" s="7">
        <v>37.213585102129997</v>
      </c>
      <c r="DC11" s="7">
        <v>39.331017740429516</v>
      </c>
      <c r="DD11" s="7">
        <v>39.424360738447447</v>
      </c>
      <c r="DE11" s="7">
        <v>40.810859993120033</v>
      </c>
      <c r="DF11" s="7">
        <v>40.801695906432748</v>
      </c>
      <c r="DG11" s="7">
        <v>40.708867190600948</v>
      </c>
      <c r="DH11" s="7">
        <v>40.86516818109358</v>
      </c>
      <c r="DI11" s="7">
        <v>41.075904556399948</v>
      </c>
      <c r="DJ11" s="7">
        <v>40.847951538338926</v>
      </c>
      <c r="DK11" s="7">
        <v>40.924733402132809</v>
      </c>
      <c r="DL11" s="7">
        <v>40.763894048847611</v>
      </c>
      <c r="DM11" s="7">
        <v>40.842212657420667</v>
      </c>
      <c r="DN11" s="7">
        <v>40.585374685423545</v>
      </c>
      <c r="DO11" s="7">
        <v>40.672287052472804</v>
      </c>
      <c r="DP11" s="7">
        <v>40.67000079383979</v>
      </c>
      <c r="DQ11" s="7">
        <v>41.952199125264158</v>
      </c>
      <c r="DR11" s="7">
        <v>42.026095791233651</v>
      </c>
      <c r="DS11" s="7">
        <v>41.871194006057706</v>
      </c>
      <c r="DT11" s="7">
        <v>41.870046229874092</v>
      </c>
      <c r="DU11" s="7">
        <v>41.868898453690441</v>
      </c>
      <c r="DV11" s="7">
        <v>42.021487828097378</v>
      </c>
      <c r="DW11" s="7">
        <v>42.021487828097385</v>
      </c>
      <c r="DX11" s="7">
        <v>42.158091961930985</v>
      </c>
      <c r="DY11" s="7">
        <v>41.939549855029753</v>
      </c>
      <c r="DZ11" s="7">
        <v>41.936100054056716</v>
      </c>
      <c r="EA11" s="7">
        <v>42.007663938688495</v>
      </c>
      <c r="EB11" s="7">
        <v>40.956349149206815</v>
      </c>
      <c r="EC11" s="7">
        <v>41.976768185854532</v>
      </c>
      <c r="ED11" s="7">
        <v>41.973398612811103</v>
      </c>
      <c r="EE11" s="7">
        <v>41.133019913618483</v>
      </c>
      <c r="EF11" s="7">
        <v>41.012871751571474</v>
      </c>
      <c r="EG11" s="7">
        <v>41.010676423679534</v>
      </c>
      <c r="EH11" s="7">
        <v>40.096108244467381</v>
      </c>
      <c r="EI11" s="7">
        <v>40.819644266375285</v>
      </c>
    </row>
    <row r="12" spans="1:139" x14ac:dyDescent="0.3">
      <c r="A12" s="5" t="s">
        <v>21</v>
      </c>
      <c r="B12" s="6">
        <v>69</v>
      </c>
      <c r="C12" s="6">
        <v>75</v>
      </c>
      <c r="D12" s="6">
        <v>75</v>
      </c>
      <c r="E12" s="6">
        <v>81</v>
      </c>
      <c r="F12" s="6">
        <v>73</v>
      </c>
      <c r="G12" s="6">
        <v>80</v>
      </c>
      <c r="H12" s="6">
        <v>85</v>
      </c>
      <c r="I12" s="6">
        <v>86</v>
      </c>
      <c r="J12" s="6">
        <v>84</v>
      </c>
      <c r="K12" s="6">
        <v>93</v>
      </c>
      <c r="L12" s="6">
        <v>95</v>
      </c>
      <c r="M12" s="6">
        <v>90</v>
      </c>
      <c r="N12" s="6">
        <v>117</v>
      </c>
      <c r="O12" s="6">
        <v>94</v>
      </c>
      <c r="P12" s="6">
        <v>101</v>
      </c>
      <c r="Q12" s="6">
        <v>87</v>
      </c>
      <c r="R12" s="6">
        <v>97</v>
      </c>
      <c r="S12" s="6">
        <v>85</v>
      </c>
      <c r="T12" s="6">
        <v>84</v>
      </c>
      <c r="U12" s="6">
        <v>90</v>
      </c>
      <c r="V12" s="6">
        <v>87</v>
      </c>
      <c r="W12" s="6">
        <v>85</v>
      </c>
      <c r="X12" s="6">
        <v>87</v>
      </c>
      <c r="Y12" s="6">
        <v>89</v>
      </c>
      <c r="Z12" s="6">
        <v>89</v>
      </c>
      <c r="AA12" s="6">
        <v>92</v>
      </c>
      <c r="AB12" s="6">
        <v>91</v>
      </c>
      <c r="AC12" s="6">
        <v>90</v>
      </c>
      <c r="AD12" s="6">
        <v>93</v>
      </c>
      <c r="AE12" s="6">
        <v>91</v>
      </c>
      <c r="AF12" s="6">
        <v>91</v>
      </c>
      <c r="AG12" s="6">
        <v>91</v>
      </c>
      <c r="AH12" s="6">
        <v>90</v>
      </c>
      <c r="AI12" s="6">
        <v>96</v>
      </c>
      <c r="AJ12" s="6">
        <v>95</v>
      </c>
      <c r="AK12" s="6">
        <v>105</v>
      </c>
      <c r="AL12" s="6">
        <v>97</v>
      </c>
      <c r="AM12" s="6">
        <v>95</v>
      </c>
      <c r="AN12" s="6">
        <v>95</v>
      </c>
      <c r="AO12" s="6">
        <v>114</v>
      </c>
      <c r="AP12" s="6">
        <v>98</v>
      </c>
      <c r="AQ12" s="6">
        <v>99</v>
      </c>
      <c r="AR12" s="6">
        <v>101</v>
      </c>
      <c r="AS12" s="6">
        <v>99</v>
      </c>
      <c r="AT12" s="6">
        <v>100</v>
      </c>
      <c r="AU12" s="6">
        <v>102</v>
      </c>
      <c r="AV12" s="6">
        <v>101</v>
      </c>
      <c r="AW12" s="6">
        <v>102</v>
      </c>
      <c r="AX12" s="6">
        <v>104</v>
      </c>
      <c r="AY12" s="6">
        <v>107</v>
      </c>
      <c r="AZ12" s="6">
        <v>105</v>
      </c>
      <c r="BA12" s="6">
        <v>101</v>
      </c>
      <c r="BB12" s="6">
        <v>99</v>
      </c>
      <c r="BC12" s="6">
        <v>99</v>
      </c>
      <c r="BD12" s="6">
        <v>101</v>
      </c>
      <c r="BE12" s="6">
        <v>108</v>
      </c>
      <c r="BF12" s="6">
        <v>101</v>
      </c>
      <c r="BG12" s="6">
        <v>105</v>
      </c>
      <c r="BH12" s="6">
        <v>101</v>
      </c>
      <c r="BI12" s="6">
        <v>99</v>
      </c>
      <c r="BJ12" s="6">
        <v>99</v>
      </c>
      <c r="BK12" s="6">
        <v>102</v>
      </c>
      <c r="BL12" s="6">
        <v>99</v>
      </c>
      <c r="BM12" s="6">
        <v>101</v>
      </c>
      <c r="BN12" s="6">
        <v>98</v>
      </c>
      <c r="BO12" s="6">
        <v>97</v>
      </c>
      <c r="BP12" s="6">
        <v>97</v>
      </c>
      <c r="BQ12" s="6">
        <v>102</v>
      </c>
      <c r="BR12" s="6">
        <v>109</v>
      </c>
      <c r="BS12" s="6">
        <v>90</v>
      </c>
      <c r="BT12" s="6">
        <v>95</v>
      </c>
      <c r="BU12" s="6">
        <v>92</v>
      </c>
      <c r="BV12" s="6">
        <v>91</v>
      </c>
      <c r="BW12" s="6">
        <v>89</v>
      </c>
      <c r="BX12" s="6">
        <v>91</v>
      </c>
      <c r="BY12" s="6">
        <v>89</v>
      </c>
      <c r="BZ12" s="6">
        <v>89</v>
      </c>
      <c r="CA12" s="6">
        <v>91</v>
      </c>
      <c r="CB12" s="7">
        <v>86.458315301934235</v>
      </c>
      <c r="CC12" s="7">
        <v>86.409302651536336</v>
      </c>
      <c r="CD12" s="7">
        <v>86.685060940726942</v>
      </c>
      <c r="CE12" s="7">
        <v>86.74703272439541</v>
      </c>
      <c r="CF12" s="7">
        <v>86.692525331139578</v>
      </c>
      <c r="CG12" s="7">
        <v>87.355744998820299</v>
      </c>
      <c r="CH12" s="7">
        <v>86.223857961115584</v>
      </c>
      <c r="CI12" s="7">
        <v>86.453370762941972</v>
      </c>
      <c r="CJ12" s="7">
        <v>86.08139980037943</v>
      </c>
      <c r="CK12" s="7">
        <v>80.960256380693465</v>
      </c>
      <c r="CL12" s="7">
        <v>85.115987742739676</v>
      </c>
      <c r="CM12" s="7">
        <v>84.193159401661049</v>
      </c>
      <c r="CN12" s="7">
        <v>78.269090169197668</v>
      </c>
      <c r="CO12" s="7">
        <v>79.968419074531468</v>
      </c>
      <c r="CP12" s="7">
        <v>79.8711156086123</v>
      </c>
      <c r="CQ12" s="7">
        <v>80.056431664158495</v>
      </c>
      <c r="CR12" s="7">
        <v>80.260143461329477</v>
      </c>
      <c r="CS12" s="7">
        <v>79.474455530270646</v>
      </c>
      <c r="CT12" s="7">
        <v>79.905193431886147</v>
      </c>
      <c r="CU12" s="7">
        <v>78.890047856742584</v>
      </c>
      <c r="CV12" s="7">
        <v>77.870706339948356</v>
      </c>
      <c r="CW12" s="7">
        <v>77.317263672697706</v>
      </c>
      <c r="CX12" s="7">
        <v>77.158730128886333</v>
      </c>
      <c r="CY12" s="7">
        <v>77.336834726466577</v>
      </c>
      <c r="CZ12" s="7">
        <v>75.129794774768726</v>
      </c>
      <c r="DA12" s="7">
        <v>75.015013143862859</v>
      </c>
      <c r="DB12" s="7">
        <v>73.950857608237257</v>
      </c>
      <c r="DC12" s="7">
        <v>73.848211897858349</v>
      </c>
      <c r="DD12" s="7">
        <v>70.115476423287305</v>
      </c>
      <c r="DE12" s="7">
        <v>73.432128181392812</v>
      </c>
      <c r="DF12" s="7">
        <v>73.334584326358737</v>
      </c>
      <c r="DG12" s="7">
        <v>73.363147306843629</v>
      </c>
      <c r="DH12" s="7">
        <v>61.930881548293371</v>
      </c>
      <c r="DI12" s="7">
        <v>72.992213630052987</v>
      </c>
      <c r="DJ12" s="7">
        <v>72.321120512640803</v>
      </c>
      <c r="DK12" s="7">
        <v>71.055507238321653</v>
      </c>
      <c r="DL12" s="7">
        <v>70.423898139212994</v>
      </c>
      <c r="DM12" s="7">
        <v>69.719659157820843</v>
      </c>
      <c r="DN12" s="7">
        <v>70.060808202811344</v>
      </c>
      <c r="DO12" s="7">
        <v>69.108021308448428</v>
      </c>
      <c r="DP12" s="7">
        <v>68.471381139687935</v>
      </c>
      <c r="DQ12" s="7">
        <v>70.568475697147505</v>
      </c>
      <c r="DR12" s="7">
        <v>71.116103655580048</v>
      </c>
      <c r="DS12" s="7">
        <v>70.88831220878329</v>
      </c>
      <c r="DT12" s="7">
        <v>68.716388270536655</v>
      </c>
      <c r="DU12" s="7">
        <v>70.17462704065511</v>
      </c>
      <c r="DV12" s="7">
        <v>70.240031396321626</v>
      </c>
      <c r="DW12" s="7">
        <v>69.855251462175403</v>
      </c>
      <c r="DX12" s="7">
        <v>68.819413028999392</v>
      </c>
      <c r="DY12" s="7">
        <v>67.865480571171716</v>
      </c>
      <c r="DZ12" s="7">
        <v>68.486960223160636</v>
      </c>
      <c r="EA12" s="7">
        <v>66.306928271361443</v>
      </c>
      <c r="EB12" s="7">
        <v>67.687575556834403</v>
      </c>
      <c r="EC12" s="7">
        <v>67.861165387727652</v>
      </c>
      <c r="ED12" s="7">
        <v>68.462348496060926</v>
      </c>
      <c r="EE12" s="7">
        <v>68.045196712208366</v>
      </c>
      <c r="EF12" s="7">
        <v>68.39050807392195</v>
      </c>
      <c r="EG12" s="7">
        <v>68.00549519803964</v>
      </c>
      <c r="EH12" s="7">
        <v>67.912061212531</v>
      </c>
      <c r="EI12" s="7">
        <v>68.077060433150109</v>
      </c>
    </row>
    <row r="13" spans="1:139" x14ac:dyDescent="0.3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2</v>
      </c>
      <c r="BT13" s="6">
        <v>1</v>
      </c>
      <c r="BU13" s="6">
        <v>1</v>
      </c>
      <c r="BV13" s="6">
        <v>1</v>
      </c>
      <c r="BW13" s="6">
        <v>1</v>
      </c>
      <c r="BX13" s="6">
        <v>1</v>
      </c>
      <c r="BY13" s="6">
        <v>1</v>
      </c>
      <c r="BZ13" s="6">
        <v>3</v>
      </c>
      <c r="CA13" s="6">
        <v>1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</row>
    <row r="14" spans="1:139" x14ac:dyDescent="0.3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</row>
    <row r="15" spans="1:139" x14ac:dyDescent="0.3">
      <c r="A15" s="5" t="s">
        <v>24</v>
      </c>
      <c r="B15" s="6">
        <v>22</v>
      </c>
      <c r="C15" s="6">
        <v>30</v>
      </c>
      <c r="D15" s="6">
        <v>25</v>
      </c>
      <c r="E15" s="6">
        <v>24</v>
      </c>
      <c r="F15" s="6">
        <v>23</v>
      </c>
      <c r="G15" s="6">
        <v>23</v>
      </c>
      <c r="H15" s="6">
        <v>21</v>
      </c>
      <c r="I15" s="6">
        <v>21</v>
      </c>
      <c r="J15" s="6">
        <v>21</v>
      </c>
      <c r="K15" s="6">
        <v>21</v>
      </c>
      <c r="L15" s="6">
        <v>23</v>
      </c>
      <c r="M15" s="6">
        <v>23</v>
      </c>
      <c r="N15" s="6">
        <v>17</v>
      </c>
      <c r="O15" s="6">
        <v>21</v>
      </c>
      <c r="P15" s="6">
        <v>17</v>
      </c>
      <c r="Q15" s="6">
        <v>19</v>
      </c>
      <c r="R15" s="6">
        <v>17</v>
      </c>
      <c r="S15" s="6">
        <v>17</v>
      </c>
      <c r="T15" s="6">
        <v>19</v>
      </c>
      <c r="U15" s="6">
        <v>21</v>
      </c>
      <c r="V15" s="6">
        <v>17</v>
      </c>
      <c r="W15" s="6">
        <v>18</v>
      </c>
      <c r="X15" s="6">
        <v>17</v>
      </c>
      <c r="Y15" s="6">
        <v>17</v>
      </c>
      <c r="Z15" s="6">
        <v>16</v>
      </c>
      <c r="AA15" s="6">
        <v>16</v>
      </c>
      <c r="AB15" s="6">
        <v>15</v>
      </c>
      <c r="AC15" s="6">
        <v>14</v>
      </c>
      <c r="AD15" s="6">
        <v>14</v>
      </c>
      <c r="AE15" s="6">
        <v>14</v>
      </c>
      <c r="AF15" s="6">
        <v>14</v>
      </c>
      <c r="AG15" s="6">
        <v>16</v>
      </c>
      <c r="AH15" s="6">
        <v>14</v>
      </c>
      <c r="AI15" s="6">
        <v>14</v>
      </c>
      <c r="AJ15" s="6">
        <v>14</v>
      </c>
      <c r="AK15" s="6">
        <v>14</v>
      </c>
      <c r="AL15" s="6">
        <v>12</v>
      </c>
      <c r="AM15" s="6">
        <v>12</v>
      </c>
      <c r="AN15" s="6">
        <v>11</v>
      </c>
      <c r="AO15" s="6">
        <v>11</v>
      </c>
      <c r="AP15" s="6">
        <v>13</v>
      </c>
      <c r="AQ15" s="6">
        <v>12</v>
      </c>
      <c r="AR15" s="6">
        <v>11</v>
      </c>
      <c r="AS15" s="6">
        <v>11</v>
      </c>
      <c r="AT15" s="6">
        <v>11</v>
      </c>
      <c r="AU15" s="6">
        <v>11</v>
      </c>
      <c r="AV15" s="6">
        <v>15</v>
      </c>
      <c r="AW15" s="6">
        <v>11</v>
      </c>
      <c r="AX15" s="6">
        <v>11</v>
      </c>
      <c r="AY15" s="6">
        <v>11</v>
      </c>
      <c r="AZ15" s="6">
        <v>11</v>
      </c>
      <c r="BA15" s="6">
        <v>12</v>
      </c>
      <c r="BB15" s="6">
        <v>11</v>
      </c>
      <c r="BC15" s="6">
        <v>13</v>
      </c>
      <c r="BD15" s="6">
        <v>13</v>
      </c>
      <c r="BE15" s="6">
        <v>28</v>
      </c>
      <c r="BF15" s="6">
        <v>14</v>
      </c>
      <c r="BG15" s="6">
        <v>14</v>
      </c>
      <c r="BH15" s="6">
        <v>14</v>
      </c>
      <c r="BI15" s="6">
        <v>12</v>
      </c>
      <c r="BJ15" s="6">
        <v>12</v>
      </c>
      <c r="BK15" s="6">
        <v>12</v>
      </c>
      <c r="BL15" s="6">
        <v>14</v>
      </c>
      <c r="BM15" s="6">
        <v>14</v>
      </c>
      <c r="BN15" s="6">
        <v>12</v>
      </c>
      <c r="BO15" s="6">
        <v>12</v>
      </c>
      <c r="BP15" s="6">
        <v>12</v>
      </c>
      <c r="BQ15" s="6">
        <v>11</v>
      </c>
      <c r="BR15" s="6">
        <v>10</v>
      </c>
      <c r="BS15" s="6">
        <v>10</v>
      </c>
      <c r="BT15" s="6">
        <v>10</v>
      </c>
      <c r="BU15" s="6">
        <v>10</v>
      </c>
      <c r="BV15" s="6">
        <v>10</v>
      </c>
      <c r="BW15" s="6">
        <v>11</v>
      </c>
      <c r="BX15" s="6">
        <v>10</v>
      </c>
      <c r="BY15" s="6">
        <v>10</v>
      </c>
      <c r="BZ15" s="6">
        <v>10</v>
      </c>
      <c r="CA15" s="6">
        <v>10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</row>
    <row r="16" spans="1:139" x14ac:dyDescent="0.3">
      <c r="A16" s="5" t="s">
        <v>25</v>
      </c>
      <c r="B16" s="6">
        <v>1</v>
      </c>
      <c r="C16" s="6">
        <v>5</v>
      </c>
      <c r="D16" s="6">
        <v>5</v>
      </c>
      <c r="E16" s="6">
        <v>4</v>
      </c>
      <c r="F16" s="6">
        <v>2</v>
      </c>
      <c r="G16" s="6">
        <v>4</v>
      </c>
      <c r="H16" s="6">
        <v>2</v>
      </c>
      <c r="I16" s="6">
        <v>4</v>
      </c>
      <c r="J16" s="6">
        <v>2</v>
      </c>
      <c r="K16" s="6">
        <v>4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  <c r="U16" s="6">
        <v>2</v>
      </c>
      <c r="V16" s="6">
        <v>2</v>
      </c>
      <c r="W16" s="6">
        <v>0</v>
      </c>
      <c r="X16" s="6">
        <v>6</v>
      </c>
      <c r="Y16" s="6">
        <v>6</v>
      </c>
      <c r="Z16" s="6">
        <v>2</v>
      </c>
      <c r="AA16" s="6">
        <v>2</v>
      </c>
      <c r="AB16" s="6">
        <v>2</v>
      </c>
      <c r="AC16" s="6">
        <v>2</v>
      </c>
      <c r="AD16" s="6">
        <v>2</v>
      </c>
      <c r="AE16" s="6">
        <v>32</v>
      </c>
      <c r="AF16" s="6">
        <v>2</v>
      </c>
      <c r="AG16" s="6">
        <v>2</v>
      </c>
      <c r="AH16" s="6">
        <v>2</v>
      </c>
      <c r="AI16" s="6">
        <v>4</v>
      </c>
      <c r="AJ16" s="6">
        <v>2</v>
      </c>
      <c r="AK16" s="6">
        <v>2</v>
      </c>
      <c r="AL16" s="6">
        <v>2</v>
      </c>
      <c r="AM16" s="6">
        <v>10</v>
      </c>
      <c r="AN16" s="6">
        <v>2</v>
      </c>
      <c r="AO16" s="6">
        <v>2</v>
      </c>
      <c r="AP16" s="6">
        <v>2</v>
      </c>
      <c r="AQ16" s="6">
        <v>6</v>
      </c>
      <c r="AR16" s="6">
        <v>8</v>
      </c>
      <c r="AS16" s="6">
        <v>2</v>
      </c>
      <c r="AT16" s="6">
        <v>2</v>
      </c>
      <c r="AU16" s="6">
        <v>2</v>
      </c>
      <c r="AV16" s="6">
        <v>2</v>
      </c>
      <c r="AW16" s="6">
        <v>20</v>
      </c>
      <c r="AX16" s="6">
        <v>22</v>
      </c>
      <c r="AY16" s="6">
        <v>4</v>
      </c>
      <c r="AZ16" s="6">
        <v>2</v>
      </c>
      <c r="BA16" s="6">
        <v>4</v>
      </c>
      <c r="BB16" s="6">
        <v>6</v>
      </c>
      <c r="BC16" s="6">
        <v>4</v>
      </c>
      <c r="BD16" s="6">
        <v>4</v>
      </c>
      <c r="BE16" s="6">
        <v>2</v>
      </c>
      <c r="BF16" s="6">
        <v>2</v>
      </c>
      <c r="BG16" s="6">
        <v>4</v>
      </c>
      <c r="BH16" s="6">
        <v>2</v>
      </c>
      <c r="BI16" s="6">
        <v>2</v>
      </c>
      <c r="BJ16" s="6">
        <v>2</v>
      </c>
      <c r="BK16" s="6">
        <v>16</v>
      </c>
      <c r="BL16" s="6">
        <v>2</v>
      </c>
      <c r="BM16" s="6">
        <v>2</v>
      </c>
      <c r="BN16" s="6">
        <v>2</v>
      </c>
      <c r="BO16" s="6">
        <v>2</v>
      </c>
      <c r="BP16" s="6">
        <v>2</v>
      </c>
      <c r="BQ16" s="6">
        <v>2</v>
      </c>
      <c r="BR16" s="6">
        <v>2</v>
      </c>
      <c r="BS16" s="6">
        <v>2</v>
      </c>
      <c r="BT16" s="6">
        <v>6</v>
      </c>
      <c r="BU16" s="6">
        <v>2</v>
      </c>
      <c r="BV16" s="6">
        <v>2</v>
      </c>
      <c r="BW16" s="6">
        <v>2</v>
      </c>
      <c r="BX16" s="6">
        <v>2</v>
      </c>
      <c r="BY16" s="6">
        <v>2</v>
      </c>
      <c r="BZ16" s="6">
        <v>2</v>
      </c>
      <c r="CA16" s="6">
        <v>2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</row>
    <row r="17" spans="1:139" x14ac:dyDescent="0.3">
      <c r="A17" s="5" t="s">
        <v>26</v>
      </c>
      <c r="B17" s="6">
        <v>3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2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0</v>
      </c>
      <c r="X17" s="6">
        <v>2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  <c r="AW17" s="6">
        <v>1</v>
      </c>
      <c r="AX17" s="6">
        <v>1</v>
      </c>
      <c r="AY17" s="6">
        <v>2</v>
      </c>
      <c r="AZ17" s="6">
        <v>2</v>
      </c>
      <c r="BA17" s="6">
        <v>2</v>
      </c>
      <c r="BB17" s="6">
        <v>2</v>
      </c>
      <c r="BC17" s="6">
        <v>2</v>
      </c>
      <c r="BD17" s="6">
        <v>2</v>
      </c>
      <c r="BE17" s="6">
        <v>1</v>
      </c>
      <c r="BF17" s="6">
        <v>3</v>
      </c>
      <c r="BG17" s="6">
        <v>1</v>
      </c>
      <c r="BH17" s="6">
        <v>1</v>
      </c>
      <c r="BI17" s="6">
        <v>1</v>
      </c>
      <c r="BJ17" s="6">
        <v>1</v>
      </c>
      <c r="BK17" s="6">
        <v>1</v>
      </c>
      <c r="BL17" s="6">
        <v>1</v>
      </c>
      <c r="BM17" s="6">
        <v>1</v>
      </c>
      <c r="BN17" s="6">
        <v>1</v>
      </c>
      <c r="BO17" s="6">
        <v>1</v>
      </c>
      <c r="BP17" s="6">
        <v>1</v>
      </c>
      <c r="BQ17" s="6">
        <v>1</v>
      </c>
      <c r="BR17" s="6">
        <v>1</v>
      </c>
      <c r="BS17" s="6">
        <v>1</v>
      </c>
      <c r="BT17" s="6">
        <v>1</v>
      </c>
      <c r="BU17" s="6">
        <v>1</v>
      </c>
      <c r="BV17" s="6">
        <v>1</v>
      </c>
      <c r="BW17" s="6">
        <v>1</v>
      </c>
      <c r="BX17" s="6">
        <v>1</v>
      </c>
      <c r="BY17" s="6">
        <v>1</v>
      </c>
      <c r="BZ17" s="6">
        <v>5</v>
      </c>
      <c r="CA17" s="6">
        <v>1</v>
      </c>
      <c r="CB17" s="7">
        <v>1</v>
      </c>
      <c r="CC17" s="7">
        <v>1</v>
      </c>
      <c r="CD17" s="7">
        <v>1</v>
      </c>
      <c r="CE17" s="7">
        <v>1</v>
      </c>
      <c r="CF17" s="7">
        <v>1</v>
      </c>
      <c r="CG17" s="7">
        <v>1</v>
      </c>
      <c r="CH17" s="7">
        <v>1</v>
      </c>
      <c r="CI17" s="7">
        <v>1</v>
      </c>
      <c r="CJ17" s="7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1</v>
      </c>
      <c r="CR17" s="7">
        <v>1</v>
      </c>
      <c r="CS17" s="7">
        <v>1</v>
      </c>
      <c r="CT17" s="7">
        <v>1</v>
      </c>
      <c r="CU17" s="7">
        <v>1</v>
      </c>
      <c r="CV17" s="7">
        <v>1</v>
      </c>
      <c r="CW17" s="7">
        <v>1</v>
      </c>
      <c r="CX17" s="7">
        <v>1</v>
      </c>
      <c r="CY17" s="7">
        <v>1</v>
      </c>
      <c r="CZ17" s="7">
        <v>1</v>
      </c>
      <c r="DA17" s="7">
        <v>1</v>
      </c>
      <c r="DB17" s="7">
        <v>1</v>
      </c>
      <c r="DC17" s="7">
        <v>1</v>
      </c>
      <c r="DD17" s="7">
        <v>1</v>
      </c>
      <c r="DE17" s="7">
        <v>1</v>
      </c>
      <c r="DF17" s="7">
        <v>1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7">
        <v>1</v>
      </c>
      <c r="DS17" s="7">
        <v>1</v>
      </c>
      <c r="DT17" s="7">
        <v>1</v>
      </c>
      <c r="DU17" s="7">
        <v>1</v>
      </c>
      <c r="DV17" s="7">
        <v>1</v>
      </c>
      <c r="DW17" s="7">
        <v>1</v>
      </c>
      <c r="DX17" s="7">
        <v>1</v>
      </c>
      <c r="DY17" s="7">
        <v>1</v>
      </c>
      <c r="DZ17" s="7">
        <v>1</v>
      </c>
      <c r="EA17" s="7">
        <v>1</v>
      </c>
      <c r="EB17" s="7">
        <v>1</v>
      </c>
      <c r="EC17" s="7">
        <v>1</v>
      </c>
      <c r="ED17" s="7">
        <v>1</v>
      </c>
      <c r="EE17" s="7">
        <v>1</v>
      </c>
      <c r="EF17" s="7">
        <v>1</v>
      </c>
      <c r="EG17" s="7">
        <v>1</v>
      </c>
      <c r="EH17" s="7">
        <v>1</v>
      </c>
      <c r="EI17" s="7">
        <v>1</v>
      </c>
    </row>
    <row r="18" spans="1:139" x14ac:dyDescent="0.3">
      <c r="A18" s="5" t="s">
        <v>27</v>
      </c>
      <c r="B18" s="8">
        <v>1838491</v>
      </c>
      <c r="C18" s="8">
        <v>1858036</v>
      </c>
      <c r="D18" s="8">
        <v>1863816</v>
      </c>
      <c r="E18" s="8">
        <v>1902199</v>
      </c>
      <c r="F18" s="8">
        <v>1887666</v>
      </c>
      <c r="G18" s="8">
        <v>1894821</v>
      </c>
      <c r="H18" s="8">
        <v>1865055</v>
      </c>
      <c r="I18" s="8">
        <v>1813654</v>
      </c>
      <c r="J18" s="8">
        <v>1941798</v>
      </c>
      <c r="K18" s="8">
        <v>1947135</v>
      </c>
      <c r="L18" s="8">
        <v>1972657</v>
      </c>
      <c r="M18" s="8">
        <v>1953224</v>
      </c>
      <c r="N18" s="8">
        <v>1909696</v>
      </c>
      <c r="O18" s="8">
        <v>2009518</v>
      </c>
      <c r="P18" s="8">
        <v>1992281</v>
      </c>
      <c r="Q18" s="8">
        <v>1980800</v>
      </c>
      <c r="R18" s="8">
        <v>1988080</v>
      </c>
      <c r="S18" s="8">
        <v>1994427</v>
      </c>
      <c r="T18" s="8">
        <v>2000902</v>
      </c>
      <c r="U18" s="8">
        <v>2028862</v>
      </c>
      <c r="V18" s="8">
        <v>2028670</v>
      </c>
      <c r="W18" s="8">
        <v>2018459</v>
      </c>
      <c r="X18" s="8">
        <v>2031445</v>
      </c>
      <c r="Y18" s="8">
        <v>2058799</v>
      </c>
      <c r="Z18" s="8">
        <v>2060974</v>
      </c>
      <c r="AA18" s="8">
        <v>2061545</v>
      </c>
      <c r="AB18" s="8">
        <v>2098578</v>
      </c>
      <c r="AC18" s="8">
        <v>2083026</v>
      </c>
      <c r="AD18" s="8">
        <v>2088383</v>
      </c>
      <c r="AE18" s="8">
        <v>2093240</v>
      </c>
      <c r="AF18" s="8">
        <v>2099440</v>
      </c>
      <c r="AG18" s="8">
        <v>2117595</v>
      </c>
      <c r="AH18" s="8">
        <v>2125451</v>
      </c>
      <c r="AI18" s="8">
        <v>2138691</v>
      </c>
      <c r="AJ18" s="8">
        <v>2145807</v>
      </c>
      <c r="AK18" s="8">
        <v>2156976</v>
      </c>
      <c r="AL18" s="8">
        <v>2171482</v>
      </c>
      <c r="AM18" s="8">
        <v>2188453</v>
      </c>
      <c r="AN18" s="8">
        <v>2227734</v>
      </c>
      <c r="AO18" s="8">
        <v>2206548</v>
      </c>
      <c r="AP18" s="8">
        <v>2221513</v>
      </c>
      <c r="AQ18" s="8">
        <v>2229617</v>
      </c>
      <c r="AR18" s="8">
        <v>2238868</v>
      </c>
      <c r="AS18" s="8">
        <v>2250209</v>
      </c>
      <c r="AT18" s="8">
        <v>2265356</v>
      </c>
      <c r="AU18" s="8">
        <v>2385945</v>
      </c>
      <c r="AV18" s="8">
        <v>2294269</v>
      </c>
      <c r="AW18" s="8">
        <v>2314880</v>
      </c>
      <c r="AX18" s="8">
        <v>2322159</v>
      </c>
      <c r="AY18" s="8">
        <v>2338332</v>
      </c>
      <c r="AZ18" s="8">
        <v>2350916</v>
      </c>
      <c r="BA18" s="8">
        <v>2362788</v>
      </c>
      <c r="BB18" s="8">
        <v>2381684</v>
      </c>
      <c r="BC18" s="8">
        <v>2387956</v>
      </c>
      <c r="BD18" s="8">
        <v>2398695</v>
      </c>
      <c r="BE18" s="8">
        <v>2408806</v>
      </c>
      <c r="BF18" s="8">
        <v>2418959</v>
      </c>
      <c r="BG18" s="8">
        <v>2453179</v>
      </c>
      <c r="BH18" s="8">
        <v>2449072</v>
      </c>
      <c r="BI18" s="8">
        <v>2482529</v>
      </c>
      <c r="BJ18" s="8">
        <v>2483336</v>
      </c>
      <c r="BK18" s="8">
        <v>2502125</v>
      </c>
      <c r="BL18" s="8">
        <v>2522453</v>
      </c>
      <c r="BM18" s="8">
        <v>2522071</v>
      </c>
      <c r="BN18" s="8">
        <v>2536358</v>
      </c>
      <c r="BO18" s="8">
        <v>2543780</v>
      </c>
      <c r="BP18" s="8">
        <v>2559158</v>
      </c>
      <c r="BQ18" s="8">
        <v>2589853</v>
      </c>
      <c r="BR18" s="8">
        <v>2593791</v>
      </c>
      <c r="BS18" s="8">
        <v>2594656</v>
      </c>
      <c r="BT18" s="8">
        <v>2623629</v>
      </c>
      <c r="BU18" s="8">
        <v>2622008</v>
      </c>
      <c r="BV18" s="8">
        <v>2630512</v>
      </c>
      <c r="BW18" s="8">
        <v>2944759</v>
      </c>
      <c r="BX18" s="8">
        <v>2657458</v>
      </c>
      <c r="BY18" s="8">
        <v>2673065</v>
      </c>
      <c r="BZ18" s="8">
        <v>2688193</v>
      </c>
      <c r="CA18" s="8">
        <v>2685976</v>
      </c>
      <c r="CB18" s="8">
        <v>2699948.1601670273</v>
      </c>
      <c r="CC18" s="8">
        <v>2707173.4963308363</v>
      </c>
      <c r="CD18" s="8">
        <v>2714414.7062622965</v>
      </c>
      <c r="CE18" s="8">
        <v>2721614.27125538</v>
      </c>
      <c r="CF18" s="8">
        <v>2728894.5499436059</v>
      </c>
      <c r="CG18" s="8">
        <v>2736231.7108092336</v>
      </c>
      <c r="CH18" s="8">
        <v>2743487.6971981735</v>
      </c>
      <c r="CI18" s="8">
        <v>2750603.1618897482</v>
      </c>
      <c r="CJ18" s="8">
        <v>2757955.3133592769</v>
      </c>
      <c r="CK18" s="8">
        <v>2765138.100429392</v>
      </c>
      <c r="CL18" s="8">
        <v>2772362.0069091474</v>
      </c>
      <c r="CM18" s="8">
        <v>2779553.8937601028</v>
      </c>
      <c r="CN18" s="8">
        <v>2787410.1150222924</v>
      </c>
      <c r="CO18" s="8">
        <v>2795353.1350939642</v>
      </c>
      <c r="CP18" s="8">
        <v>2803284.6524481773</v>
      </c>
      <c r="CQ18" s="8">
        <v>2811292.3106107055</v>
      </c>
      <c r="CR18" s="8">
        <v>2819345.2195037962</v>
      </c>
      <c r="CS18" s="8">
        <v>2827436.4230749225</v>
      </c>
      <c r="CT18" s="8">
        <v>2835604.7306388002</v>
      </c>
      <c r="CU18" s="8">
        <v>2843566.901197447</v>
      </c>
      <c r="CV18" s="8">
        <v>2851542.8600680484</v>
      </c>
      <c r="CW18" s="8">
        <v>2859526.2302343585</v>
      </c>
      <c r="CX18" s="8">
        <v>2867465.1529016076</v>
      </c>
      <c r="CY18" s="8">
        <v>2875445.3412270453</v>
      </c>
      <c r="CZ18" s="8">
        <v>2883880.3284076592</v>
      </c>
      <c r="DA18" s="8">
        <v>2892412.8540519997</v>
      </c>
      <c r="DB18" s="8">
        <v>2900937.9788455395</v>
      </c>
      <c r="DC18" s="8">
        <v>2909449.8243945399</v>
      </c>
      <c r="DD18" s="8">
        <v>2917951.9084189101</v>
      </c>
      <c r="DE18" s="8">
        <v>2926522.6598408092</v>
      </c>
      <c r="DF18" s="8">
        <v>2935472.2666385788</v>
      </c>
      <c r="DG18" s="8">
        <v>2944000.4877615012</v>
      </c>
      <c r="DH18" s="8">
        <v>2952503.9060698221</v>
      </c>
      <c r="DI18" s="8">
        <v>2961069.7328789672</v>
      </c>
      <c r="DJ18" s="8">
        <v>2969618.1960023008</v>
      </c>
      <c r="DK18" s="8">
        <v>2978176.7493252577</v>
      </c>
      <c r="DL18" s="8">
        <v>2986774.6000812408</v>
      </c>
      <c r="DM18" s="8">
        <v>2995425.8616205249</v>
      </c>
      <c r="DN18" s="8">
        <v>3004056.5483289151</v>
      </c>
      <c r="DO18" s="8">
        <v>3012633.6306426949</v>
      </c>
      <c r="DP18" s="8">
        <v>3021221.210622143</v>
      </c>
      <c r="DQ18" s="8">
        <v>3030016.3454208812</v>
      </c>
      <c r="DR18" s="8">
        <v>3039133.1945864945</v>
      </c>
      <c r="DS18" s="8">
        <v>3047710.0122033712</v>
      </c>
      <c r="DT18" s="8">
        <v>3056344.5161289065</v>
      </c>
      <c r="DU18" s="8">
        <v>3064910.7367670336</v>
      </c>
      <c r="DV18" s="8">
        <v>3073498.3837142736</v>
      </c>
      <c r="DW18" s="8">
        <v>3082133.8063428481</v>
      </c>
      <c r="DX18" s="8">
        <v>3089566.7801385359</v>
      </c>
      <c r="DY18" s="8">
        <v>3097108.893035457</v>
      </c>
      <c r="DZ18" s="8">
        <v>3104590.48142293</v>
      </c>
      <c r="EA18" s="8">
        <v>3112065.2181904512</v>
      </c>
      <c r="EB18" s="8">
        <v>3119583.7513356819</v>
      </c>
      <c r="EC18" s="8">
        <v>3127230.25392569</v>
      </c>
      <c r="ED18" s="8">
        <v>3135344.4946399443</v>
      </c>
      <c r="EE18" s="8">
        <v>3142814.2041598214</v>
      </c>
      <c r="EF18" s="8">
        <v>3150298.9474800043</v>
      </c>
      <c r="EG18" s="8">
        <v>3157824.1790896771</v>
      </c>
      <c r="EH18" s="8">
        <v>3165283.2675791346</v>
      </c>
      <c r="EI18" s="8">
        <v>3172785.81857449</v>
      </c>
    </row>
    <row r="19" spans="1:139" x14ac:dyDescent="0.3"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</row>
    <row r="20" spans="1:139" x14ac:dyDescent="0.3">
      <c r="A20" s="10"/>
      <c r="B20" s="11" t="s">
        <v>28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 t="s">
        <v>29</v>
      </c>
      <c r="CC20" s="11"/>
      <c r="DS20" s="9"/>
      <c r="DT20" s="9"/>
      <c r="EE20" s="9"/>
      <c r="EF20" s="9"/>
    </row>
    <row r="21" spans="1:139" x14ac:dyDescent="0.3"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2</v>
      </c>
      <c r="AA21" s="1" t="s">
        <v>2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3</v>
      </c>
      <c r="AM21" s="1" t="s">
        <v>3</v>
      </c>
      <c r="AN21" s="1" t="s">
        <v>3</v>
      </c>
      <c r="AO21" s="1" t="s">
        <v>3</v>
      </c>
      <c r="AP21" s="1" t="s">
        <v>3</v>
      </c>
      <c r="AQ21" s="1" t="s">
        <v>3</v>
      </c>
      <c r="AR21" s="1" t="s">
        <v>3</v>
      </c>
      <c r="AS21" s="1" t="s">
        <v>3</v>
      </c>
      <c r="AT21" s="1" t="s">
        <v>3</v>
      </c>
      <c r="AU21" s="1" t="s">
        <v>3</v>
      </c>
      <c r="AV21" s="1" t="s">
        <v>3</v>
      </c>
      <c r="AW21" s="1" t="s">
        <v>3</v>
      </c>
      <c r="AX21" s="1" t="s">
        <v>3</v>
      </c>
      <c r="AY21" s="1" t="s">
        <v>3</v>
      </c>
      <c r="AZ21" s="1" t="s">
        <v>3</v>
      </c>
      <c r="BA21" s="1" t="s">
        <v>3</v>
      </c>
      <c r="BB21" s="1" t="s">
        <v>3</v>
      </c>
      <c r="BC21" s="1" t="s">
        <v>3</v>
      </c>
      <c r="BD21" s="1" t="s">
        <v>4</v>
      </c>
      <c r="BE21" s="1" t="s">
        <v>4</v>
      </c>
      <c r="BF21" s="1" t="s">
        <v>4</v>
      </c>
      <c r="BG21" s="1" t="s">
        <v>4</v>
      </c>
      <c r="BH21" s="1" t="s">
        <v>4</v>
      </c>
      <c r="BI21" s="1" t="s">
        <v>4</v>
      </c>
      <c r="BJ21" s="1" t="s">
        <v>4</v>
      </c>
      <c r="BK21" s="1" t="s">
        <v>4</v>
      </c>
      <c r="BL21" s="1" t="s">
        <v>4</v>
      </c>
      <c r="BM21" s="1" t="s">
        <v>4</v>
      </c>
      <c r="BN21" s="1" t="s">
        <v>4</v>
      </c>
      <c r="BO21" s="1" t="s">
        <v>4</v>
      </c>
      <c r="BP21" s="1" t="s">
        <v>5</v>
      </c>
      <c r="BQ21" s="1" t="s">
        <v>5</v>
      </c>
      <c r="BR21" s="1" t="s">
        <v>5</v>
      </c>
      <c r="BS21" s="1" t="s">
        <v>5</v>
      </c>
      <c r="BT21" s="1" t="s">
        <v>5</v>
      </c>
      <c r="BU21" s="1" t="s">
        <v>5</v>
      </c>
      <c r="BV21" s="1" t="s">
        <v>5</v>
      </c>
      <c r="BW21" s="1" t="s">
        <v>5</v>
      </c>
      <c r="BX21" s="1" t="s">
        <v>5</v>
      </c>
      <c r="BY21" s="1" t="s">
        <v>5</v>
      </c>
      <c r="BZ21" s="1" t="s">
        <v>5</v>
      </c>
      <c r="CA21" s="1" t="s">
        <v>5</v>
      </c>
      <c r="CB21" s="1" t="s">
        <v>6</v>
      </c>
      <c r="CC21" s="1" t="s">
        <v>6</v>
      </c>
      <c r="CD21" s="1" t="s">
        <v>6</v>
      </c>
      <c r="CE21" s="1" t="s">
        <v>6</v>
      </c>
      <c r="CF21" s="1" t="s">
        <v>6</v>
      </c>
      <c r="CG21" s="1" t="s">
        <v>6</v>
      </c>
      <c r="CH21" s="1" t="s">
        <v>6</v>
      </c>
      <c r="CI21" s="1" t="s">
        <v>6</v>
      </c>
      <c r="CJ21" s="1" t="s">
        <v>6</v>
      </c>
      <c r="CK21" s="1" t="s">
        <v>6</v>
      </c>
      <c r="CL21" s="1" t="s">
        <v>6</v>
      </c>
      <c r="CM21" s="1" t="s">
        <v>6</v>
      </c>
      <c r="CN21" s="1" t="s">
        <v>7</v>
      </c>
      <c r="CO21" s="1" t="s">
        <v>7</v>
      </c>
      <c r="CP21" s="1" t="s">
        <v>7</v>
      </c>
      <c r="CQ21" s="1" t="s">
        <v>7</v>
      </c>
      <c r="CR21" s="1" t="s">
        <v>7</v>
      </c>
      <c r="CS21" s="1" t="s">
        <v>7</v>
      </c>
      <c r="CT21" s="1" t="s">
        <v>7</v>
      </c>
      <c r="CU21" s="1" t="s">
        <v>7</v>
      </c>
      <c r="CV21" s="1" t="s">
        <v>7</v>
      </c>
      <c r="CW21" s="1" t="s">
        <v>7</v>
      </c>
      <c r="CX21" s="1" t="s">
        <v>7</v>
      </c>
      <c r="CY21" s="1" t="s">
        <v>7</v>
      </c>
      <c r="CZ21" s="1" t="s">
        <v>8</v>
      </c>
      <c r="DA21" s="1" t="s">
        <v>8</v>
      </c>
      <c r="DB21" s="1" t="s">
        <v>8</v>
      </c>
      <c r="DC21" s="1" t="s">
        <v>8</v>
      </c>
      <c r="DD21" s="1" t="s">
        <v>8</v>
      </c>
      <c r="DE21" s="1" t="s">
        <v>8</v>
      </c>
      <c r="DF21" s="1" t="s">
        <v>8</v>
      </c>
      <c r="DG21" s="1" t="s">
        <v>8</v>
      </c>
      <c r="DH21" s="1" t="s">
        <v>8</v>
      </c>
      <c r="DI21" s="1" t="s">
        <v>8</v>
      </c>
      <c r="DJ21" s="1" t="s">
        <v>8</v>
      </c>
      <c r="DK21" s="1" t="s">
        <v>8</v>
      </c>
      <c r="DL21" s="1" t="s">
        <v>9</v>
      </c>
      <c r="DM21" s="1" t="s">
        <v>9</v>
      </c>
      <c r="DN21" s="1" t="s">
        <v>9</v>
      </c>
      <c r="DO21" s="1" t="s">
        <v>9</v>
      </c>
      <c r="DP21" s="1" t="s">
        <v>9</v>
      </c>
      <c r="DQ21" s="1" t="s">
        <v>9</v>
      </c>
      <c r="DR21" s="1" t="s">
        <v>9</v>
      </c>
      <c r="DS21" s="1" t="s">
        <v>9</v>
      </c>
      <c r="DT21" s="1" t="s">
        <v>9</v>
      </c>
      <c r="DU21" s="1" t="s">
        <v>9</v>
      </c>
      <c r="DV21" s="1" t="s">
        <v>9</v>
      </c>
      <c r="DW21" s="1" t="s">
        <v>9</v>
      </c>
      <c r="DX21" s="1" t="s">
        <v>10</v>
      </c>
      <c r="DY21" s="1" t="s">
        <v>10</v>
      </c>
      <c r="DZ21" s="1" t="s">
        <v>10</v>
      </c>
      <c r="EA21" s="1" t="s">
        <v>10</v>
      </c>
      <c r="EB21" s="1" t="s">
        <v>10</v>
      </c>
      <c r="EC21" s="1" t="s">
        <v>10</v>
      </c>
      <c r="ED21" s="1" t="s">
        <v>10</v>
      </c>
      <c r="EE21" s="1" t="s">
        <v>10</v>
      </c>
      <c r="EF21" s="1" t="s">
        <v>10</v>
      </c>
      <c r="EG21" s="1" t="s">
        <v>10</v>
      </c>
      <c r="EH21" s="1" t="s">
        <v>10</v>
      </c>
      <c r="EI21" s="1" t="s">
        <v>10</v>
      </c>
    </row>
    <row r="22" spans="1:139" x14ac:dyDescent="0.3">
      <c r="A22" s="3" t="s">
        <v>30</v>
      </c>
      <c r="B22" s="4">
        <v>43252</v>
      </c>
      <c r="C22" s="4">
        <v>43282</v>
      </c>
      <c r="D22" s="4">
        <v>43313</v>
      </c>
      <c r="E22" s="4">
        <v>43344</v>
      </c>
      <c r="F22" s="4">
        <v>43374</v>
      </c>
      <c r="G22" s="4">
        <v>43405</v>
      </c>
      <c r="H22" s="4">
        <v>43435</v>
      </c>
      <c r="I22" s="4">
        <v>43466</v>
      </c>
      <c r="J22" s="4">
        <v>43497</v>
      </c>
      <c r="K22" s="4">
        <v>43525</v>
      </c>
      <c r="L22" s="4">
        <v>43556</v>
      </c>
      <c r="M22" s="4">
        <v>43586</v>
      </c>
      <c r="N22" s="4">
        <v>43617</v>
      </c>
      <c r="O22" s="4">
        <v>43647</v>
      </c>
      <c r="P22" s="4">
        <v>43678</v>
      </c>
      <c r="Q22" s="4">
        <v>43709</v>
      </c>
      <c r="R22" s="4">
        <v>43739</v>
      </c>
      <c r="S22" s="4">
        <v>43770</v>
      </c>
      <c r="T22" s="4">
        <v>43800</v>
      </c>
      <c r="U22" s="4">
        <v>43831</v>
      </c>
      <c r="V22" s="4">
        <v>43862</v>
      </c>
      <c r="W22" s="4">
        <v>43891</v>
      </c>
      <c r="X22" s="4">
        <v>43922</v>
      </c>
      <c r="Y22" s="4">
        <v>43952</v>
      </c>
      <c r="Z22" s="4">
        <v>43983</v>
      </c>
      <c r="AA22" s="4">
        <v>44013</v>
      </c>
      <c r="AB22" s="4">
        <v>44044</v>
      </c>
      <c r="AC22" s="4">
        <v>44075</v>
      </c>
      <c r="AD22" s="4">
        <v>44105</v>
      </c>
      <c r="AE22" s="4">
        <v>44136</v>
      </c>
      <c r="AF22" s="4">
        <v>44166</v>
      </c>
      <c r="AG22" s="4">
        <v>44197</v>
      </c>
      <c r="AH22" s="4">
        <v>44228</v>
      </c>
      <c r="AI22" s="4">
        <v>44256</v>
      </c>
      <c r="AJ22" s="4">
        <v>44287</v>
      </c>
      <c r="AK22" s="4">
        <v>44317</v>
      </c>
      <c r="AL22" s="4">
        <v>44348</v>
      </c>
      <c r="AM22" s="4">
        <v>44378</v>
      </c>
      <c r="AN22" s="4">
        <v>44409</v>
      </c>
      <c r="AO22" s="4">
        <v>44440</v>
      </c>
      <c r="AP22" s="4">
        <v>44470</v>
      </c>
      <c r="AQ22" s="4">
        <v>44501</v>
      </c>
      <c r="AR22" s="4">
        <v>44531</v>
      </c>
      <c r="AS22" s="4">
        <v>44562</v>
      </c>
      <c r="AT22" s="4">
        <v>44593</v>
      </c>
      <c r="AU22" s="4">
        <v>44621</v>
      </c>
      <c r="AV22" s="4">
        <v>44652</v>
      </c>
      <c r="AW22" s="4">
        <v>44682</v>
      </c>
      <c r="AX22" s="4">
        <v>44713</v>
      </c>
      <c r="AY22" s="4">
        <v>44743</v>
      </c>
      <c r="AZ22" s="4">
        <v>44774</v>
      </c>
      <c r="BA22" s="4">
        <v>44805</v>
      </c>
      <c r="BB22" s="4">
        <v>44835</v>
      </c>
      <c r="BC22" s="4">
        <v>44866</v>
      </c>
      <c r="BD22" s="4">
        <v>44896</v>
      </c>
      <c r="BE22" s="4">
        <v>44927</v>
      </c>
      <c r="BF22" s="4">
        <v>44958</v>
      </c>
      <c r="BG22" s="4">
        <v>44986</v>
      </c>
      <c r="BH22" s="4">
        <v>45017</v>
      </c>
      <c r="BI22" s="4">
        <v>45047</v>
      </c>
      <c r="BJ22" s="4">
        <v>45078</v>
      </c>
      <c r="BK22" s="4">
        <v>45108</v>
      </c>
      <c r="BL22" s="4">
        <v>45139</v>
      </c>
      <c r="BM22" s="4">
        <v>45170</v>
      </c>
      <c r="BN22" s="4">
        <v>45200</v>
      </c>
      <c r="BO22" s="4">
        <v>45231</v>
      </c>
      <c r="BP22" s="4">
        <v>45261</v>
      </c>
      <c r="BQ22" s="4">
        <v>45292</v>
      </c>
      <c r="BR22" s="4">
        <v>45323</v>
      </c>
      <c r="BS22" s="4">
        <v>45352</v>
      </c>
      <c r="BT22" s="4">
        <v>45383</v>
      </c>
      <c r="BU22" s="4">
        <v>45413</v>
      </c>
      <c r="BV22" s="4">
        <v>45444</v>
      </c>
      <c r="BW22" s="4">
        <v>45474</v>
      </c>
      <c r="BX22" s="4">
        <v>45505</v>
      </c>
      <c r="BY22" s="4">
        <v>45536</v>
      </c>
      <c r="BZ22" s="4">
        <v>45566</v>
      </c>
      <c r="CA22" s="4">
        <v>45597</v>
      </c>
      <c r="CB22" s="4">
        <v>45627</v>
      </c>
      <c r="CC22" s="4">
        <v>45658</v>
      </c>
      <c r="CD22" s="4">
        <v>45689</v>
      </c>
      <c r="CE22" s="4">
        <v>45717</v>
      </c>
      <c r="CF22" s="4">
        <v>45748</v>
      </c>
      <c r="CG22" s="4">
        <v>45778</v>
      </c>
      <c r="CH22" s="4">
        <v>45809</v>
      </c>
      <c r="CI22" s="4">
        <v>45839</v>
      </c>
      <c r="CJ22" s="4">
        <v>45870</v>
      </c>
      <c r="CK22" s="4">
        <v>45901</v>
      </c>
      <c r="CL22" s="4">
        <v>45931</v>
      </c>
      <c r="CM22" s="4">
        <v>45962</v>
      </c>
      <c r="CN22" s="4">
        <v>45992</v>
      </c>
      <c r="CO22" s="4">
        <v>46023</v>
      </c>
      <c r="CP22" s="4">
        <v>46054</v>
      </c>
      <c r="CQ22" s="4">
        <v>46082</v>
      </c>
      <c r="CR22" s="4">
        <v>46113</v>
      </c>
      <c r="CS22" s="4">
        <v>46143</v>
      </c>
      <c r="CT22" s="4">
        <v>46174</v>
      </c>
      <c r="CU22" s="4">
        <v>46204</v>
      </c>
      <c r="CV22" s="4">
        <v>46235</v>
      </c>
      <c r="CW22" s="4">
        <v>46266</v>
      </c>
      <c r="CX22" s="4">
        <v>46296</v>
      </c>
      <c r="CY22" s="4">
        <v>46327</v>
      </c>
      <c r="CZ22" s="4">
        <v>46357</v>
      </c>
      <c r="DA22" s="4">
        <v>46388</v>
      </c>
      <c r="DB22" s="4">
        <v>46419</v>
      </c>
      <c r="DC22" s="4">
        <v>46447</v>
      </c>
      <c r="DD22" s="4">
        <v>46478</v>
      </c>
      <c r="DE22" s="4">
        <v>46508</v>
      </c>
      <c r="DF22" s="4">
        <v>46539</v>
      </c>
      <c r="DG22" s="4">
        <v>46569</v>
      </c>
      <c r="DH22" s="4">
        <v>46600</v>
      </c>
      <c r="DI22" s="4">
        <v>46631</v>
      </c>
      <c r="DJ22" s="4">
        <v>46661</v>
      </c>
      <c r="DK22" s="4">
        <v>46692</v>
      </c>
      <c r="DL22" s="4">
        <v>46722</v>
      </c>
      <c r="DM22" s="4">
        <v>46753</v>
      </c>
      <c r="DN22" s="4">
        <v>46784</v>
      </c>
      <c r="DO22" s="4">
        <v>46813</v>
      </c>
      <c r="DP22" s="4">
        <v>46844</v>
      </c>
      <c r="DQ22" s="4">
        <v>46874</v>
      </c>
      <c r="DR22" s="4">
        <v>46905</v>
      </c>
      <c r="DS22" s="4">
        <v>46935</v>
      </c>
      <c r="DT22" s="4">
        <v>46966</v>
      </c>
      <c r="DU22" s="4">
        <v>46997</v>
      </c>
      <c r="DV22" s="4">
        <v>47027</v>
      </c>
      <c r="DW22" s="4">
        <v>47058</v>
      </c>
      <c r="DX22" s="4">
        <v>47088</v>
      </c>
      <c r="DY22" s="4">
        <v>47119</v>
      </c>
      <c r="DZ22" s="4">
        <v>47150</v>
      </c>
      <c r="EA22" s="4">
        <v>47178</v>
      </c>
      <c r="EB22" s="4">
        <v>47209</v>
      </c>
      <c r="EC22" s="4">
        <v>47239</v>
      </c>
      <c r="ED22" s="4">
        <v>47270</v>
      </c>
      <c r="EE22" s="4">
        <v>47300</v>
      </c>
      <c r="EF22" s="4">
        <v>47331</v>
      </c>
      <c r="EG22" s="4">
        <v>47362</v>
      </c>
      <c r="EH22" s="4">
        <v>47392</v>
      </c>
      <c r="EI22" s="4">
        <v>47423</v>
      </c>
    </row>
    <row r="23" spans="1:139" x14ac:dyDescent="0.3">
      <c r="A23" s="5" t="s">
        <v>12</v>
      </c>
      <c r="B23" s="6">
        <v>1209962</v>
      </c>
      <c r="C23" s="6">
        <v>1222755</v>
      </c>
      <c r="D23" s="6">
        <v>1226212</v>
      </c>
      <c r="E23" s="6">
        <v>1224929</v>
      </c>
      <c r="F23" s="6">
        <v>1238747</v>
      </c>
      <c r="G23" s="6">
        <v>1240310</v>
      </c>
      <c r="H23" s="6">
        <v>1222114</v>
      </c>
      <c r="I23" s="6">
        <v>1195391</v>
      </c>
      <c r="J23" s="6">
        <v>1262251</v>
      </c>
      <c r="K23" s="6">
        <v>1266661</v>
      </c>
      <c r="L23" s="6">
        <v>1275774</v>
      </c>
      <c r="M23" s="6">
        <v>1273217</v>
      </c>
      <c r="N23" s="6">
        <v>1262259</v>
      </c>
      <c r="O23" s="6">
        <v>1281015</v>
      </c>
      <c r="P23" s="6">
        <v>1278839</v>
      </c>
      <c r="Q23" s="6">
        <v>1285283</v>
      </c>
      <c r="R23" s="6">
        <v>1294410</v>
      </c>
      <c r="S23" s="6">
        <v>1297146</v>
      </c>
      <c r="T23" s="6">
        <v>1304355</v>
      </c>
      <c r="U23" s="6">
        <v>1321411</v>
      </c>
      <c r="V23" s="6">
        <v>1317221</v>
      </c>
      <c r="W23" s="6">
        <v>1318418</v>
      </c>
      <c r="X23" s="6">
        <v>1322182</v>
      </c>
      <c r="Y23" s="6">
        <v>1323854</v>
      </c>
      <c r="Z23" s="6">
        <v>1331397</v>
      </c>
      <c r="AA23" s="6">
        <v>1337406</v>
      </c>
      <c r="AB23" s="6">
        <v>1338606</v>
      </c>
      <c r="AC23" s="6">
        <v>1348198</v>
      </c>
      <c r="AD23" s="6">
        <v>1350578</v>
      </c>
      <c r="AE23" s="6">
        <v>1352989</v>
      </c>
      <c r="AF23" s="6">
        <v>1357704</v>
      </c>
      <c r="AG23" s="6">
        <v>1368617</v>
      </c>
      <c r="AH23" s="6">
        <v>1376441</v>
      </c>
      <c r="AI23" s="6">
        <v>1386011</v>
      </c>
      <c r="AJ23" s="6">
        <v>1388131</v>
      </c>
      <c r="AK23" s="6">
        <v>1390028</v>
      </c>
      <c r="AL23" s="6">
        <v>1406869</v>
      </c>
      <c r="AM23" s="6">
        <v>1409953</v>
      </c>
      <c r="AN23" s="6">
        <v>1416734</v>
      </c>
      <c r="AO23" s="6">
        <v>1420734</v>
      </c>
      <c r="AP23" s="6">
        <v>1426985</v>
      </c>
      <c r="AQ23" s="6">
        <v>1435301</v>
      </c>
      <c r="AR23" s="6">
        <v>1441063</v>
      </c>
      <c r="AS23" s="6">
        <v>1451914</v>
      </c>
      <c r="AT23" s="6">
        <v>1452708</v>
      </c>
      <c r="AU23" s="6">
        <v>1519694</v>
      </c>
      <c r="AV23" s="6">
        <v>1464264</v>
      </c>
      <c r="AW23" s="6">
        <v>1475617</v>
      </c>
      <c r="AX23" s="6">
        <v>1480708</v>
      </c>
      <c r="AY23" s="6">
        <v>1485986</v>
      </c>
      <c r="AZ23" s="6">
        <v>1495513</v>
      </c>
      <c r="BA23" s="6">
        <v>1497136</v>
      </c>
      <c r="BB23" s="6">
        <v>1505179</v>
      </c>
      <c r="BC23" s="6">
        <v>1512994</v>
      </c>
      <c r="BD23" s="6">
        <v>1518048</v>
      </c>
      <c r="BE23" s="6">
        <v>1525418</v>
      </c>
      <c r="BF23" s="6">
        <v>1528680</v>
      </c>
      <c r="BG23" s="6">
        <v>1541242</v>
      </c>
      <c r="BH23" s="6">
        <v>1536389</v>
      </c>
      <c r="BI23" s="6">
        <v>1549725</v>
      </c>
      <c r="BJ23" s="6">
        <v>1550180</v>
      </c>
      <c r="BK23" s="6">
        <v>1557787</v>
      </c>
      <c r="BL23" s="6">
        <v>1567975</v>
      </c>
      <c r="BM23" s="6">
        <v>1566366</v>
      </c>
      <c r="BN23" s="6">
        <v>1571571</v>
      </c>
      <c r="BO23" s="6">
        <v>1574415</v>
      </c>
      <c r="BP23" s="6">
        <v>1579993</v>
      </c>
      <c r="BQ23" s="6">
        <v>1594014</v>
      </c>
      <c r="BR23" s="6">
        <v>1595808</v>
      </c>
      <c r="BS23" s="6">
        <v>1596817</v>
      </c>
      <c r="BT23" s="6">
        <v>1606905</v>
      </c>
      <c r="BU23" s="6">
        <v>1608212</v>
      </c>
      <c r="BV23" s="6">
        <v>1609785</v>
      </c>
      <c r="BW23" s="6">
        <v>1618745</v>
      </c>
      <c r="BX23" s="6">
        <v>1617801</v>
      </c>
      <c r="BY23" s="6">
        <v>1623440</v>
      </c>
      <c r="BZ23" s="6">
        <v>1628170</v>
      </c>
      <c r="CA23" s="6">
        <v>1622408</v>
      </c>
      <c r="CB23" s="7">
        <v>1602161.192288415</v>
      </c>
      <c r="CC23" s="7">
        <v>1607675.5876896782</v>
      </c>
      <c r="CD23" s="7">
        <v>1613615.2084090724</v>
      </c>
      <c r="CE23" s="7">
        <v>1620553.2429627459</v>
      </c>
      <c r="CF23" s="7">
        <v>1626342.0957080806</v>
      </c>
      <c r="CG23" s="7">
        <v>1632537.5429129421</v>
      </c>
      <c r="CH23" s="7">
        <v>1638599.0476750629</v>
      </c>
      <c r="CI23" s="7">
        <v>1645609.9644336938</v>
      </c>
      <c r="CJ23" s="7">
        <v>1651895.3623635897</v>
      </c>
      <c r="CK23" s="7">
        <v>1658607.0632198681</v>
      </c>
      <c r="CL23" s="7">
        <v>1663625.1937964451</v>
      </c>
      <c r="CM23" s="7">
        <v>1666093.1234801777</v>
      </c>
      <c r="CN23" s="7">
        <v>1672084.6421547609</v>
      </c>
      <c r="CO23" s="7">
        <v>1681822.2977578398</v>
      </c>
      <c r="CP23" s="7">
        <v>1687606.204214321</v>
      </c>
      <c r="CQ23" s="7">
        <v>1698989.7766183694</v>
      </c>
      <c r="CR23" s="7">
        <v>1708583.4388252348</v>
      </c>
      <c r="CS23" s="7">
        <v>1717572.1737403097</v>
      </c>
      <c r="CT23" s="7">
        <v>1727618.4991423108</v>
      </c>
      <c r="CU23" s="7">
        <v>1735604.8015492419</v>
      </c>
      <c r="CV23" s="7">
        <v>1743258.2333881336</v>
      </c>
      <c r="CW23" s="7">
        <v>1751519.2054135662</v>
      </c>
      <c r="CX23" s="7">
        <v>1758273.7080410009</v>
      </c>
      <c r="CY23" s="7">
        <v>1765108.7394980856</v>
      </c>
      <c r="CZ23" s="7">
        <v>1773587.4684637734</v>
      </c>
      <c r="DA23" s="7">
        <v>1785298.3027957026</v>
      </c>
      <c r="DB23" s="7">
        <v>1794304.9540887824</v>
      </c>
      <c r="DC23" s="7">
        <v>1800882.9830181953</v>
      </c>
      <c r="DD23" s="7">
        <v>1810320.3518959449</v>
      </c>
      <c r="DE23" s="7">
        <v>1820488.9738522319</v>
      </c>
      <c r="DF23" s="7">
        <v>1831702.3354293429</v>
      </c>
      <c r="DG23" s="7">
        <v>1840683.5304203853</v>
      </c>
      <c r="DH23" s="7">
        <v>1850734.534296623</v>
      </c>
      <c r="DI23" s="7">
        <v>1861023.8535972056</v>
      </c>
      <c r="DJ23" s="7">
        <v>1871524.1436478011</v>
      </c>
      <c r="DK23" s="7">
        <v>1880924.7622768898</v>
      </c>
      <c r="DL23" s="7">
        <v>1891422.5965784593</v>
      </c>
      <c r="DM23" s="7">
        <v>1902986.5569517158</v>
      </c>
      <c r="DN23" s="7">
        <v>1915338.0634656474</v>
      </c>
      <c r="DO23" s="7">
        <v>1924910.2219202772</v>
      </c>
      <c r="DP23" s="7">
        <v>1934492.7286948964</v>
      </c>
      <c r="DQ23" s="7">
        <v>1945118.4083170984</v>
      </c>
      <c r="DR23" s="7">
        <v>1956775.5146219544</v>
      </c>
      <c r="DS23" s="7">
        <v>1968866.3744378858</v>
      </c>
      <c r="DT23" s="7">
        <v>1977709.5144951562</v>
      </c>
      <c r="DU23" s="7">
        <v>1987773.0931398231</v>
      </c>
      <c r="DV23" s="7">
        <v>2000786.9159450643</v>
      </c>
      <c r="DW23" s="7">
        <v>2009211.2452577113</v>
      </c>
      <c r="DX23" s="7">
        <v>2017633.2536516932</v>
      </c>
      <c r="DY23" s="7">
        <v>2027208.5048660466</v>
      </c>
      <c r="DZ23" s="7">
        <v>2036799.7770964904</v>
      </c>
      <c r="EA23" s="7">
        <v>2043917.376971663</v>
      </c>
      <c r="EB23" s="7">
        <v>2053819.7680847952</v>
      </c>
      <c r="EC23" s="7">
        <v>2060999.974679884</v>
      </c>
      <c r="ED23" s="7">
        <v>2069756.3112320425</v>
      </c>
      <c r="EE23" s="7">
        <v>2079870.843369609</v>
      </c>
      <c r="EF23" s="7">
        <v>2087423.7763848156</v>
      </c>
      <c r="EG23" s="7">
        <v>2099342.9042250765</v>
      </c>
      <c r="EH23" s="7">
        <v>2106652.8390196832</v>
      </c>
      <c r="EI23" s="7">
        <v>2116865.0871802657</v>
      </c>
    </row>
    <row r="24" spans="1:139" x14ac:dyDescent="0.3">
      <c r="A24" s="5" t="s">
        <v>13</v>
      </c>
      <c r="B24" s="6">
        <v>12553.000000000002</v>
      </c>
      <c r="C24" s="6">
        <v>12718.000000000004</v>
      </c>
      <c r="D24" s="6">
        <v>13022.999999999998</v>
      </c>
      <c r="E24" s="6">
        <v>12863.999999999991</v>
      </c>
      <c r="F24" s="6">
        <v>13000.999999999998</v>
      </c>
      <c r="G24" s="6">
        <v>13038</v>
      </c>
      <c r="H24" s="6">
        <v>12803.999999999985</v>
      </c>
      <c r="I24" s="6">
        <v>12192.000000000007</v>
      </c>
      <c r="J24" s="6">
        <v>13056.000000000007</v>
      </c>
      <c r="K24" s="6">
        <v>13288.999999999993</v>
      </c>
      <c r="L24" s="6">
        <v>13504.000000000022</v>
      </c>
      <c r="M24" s="6">
        <v>13521.000000000018</v>
      </c>
      <c r="N24" s="6">
        <v>12997.000000000025</v>
      </c>
      <c r="O24" s="6">
        <v>14207.000000000018</v>
      </c>
      <c r="P24" s="6">
        <v>13729.000000000007</v>
      </c>
      <c r="Q24" s="6">
        <v>13761.999999999964</v>
      </c>
      <c r="R24" s="6">
        <v>13906.999999999993</v>
      </c>
      <c r="S24" s="6">
        <v>13955.999999999996</v>
      </c>
      <c r="T24" s="6">
        <v>13932.999999999998</v>
      </c>
      <c r="U24" s="6">
        <v>14097.999999999975</v>
      </c>
      <c r="V24" s="6">
        <v>14016.000000000005</v>
      </c>
      <c r="W24" s="6">
        <v>13963.999999999962</v>
      </c>
      <c r="X24" s="6">
        <v>13968.999999999996</v>
      </c>
      <c r="Y24" s="6">
        <v>14126.000000000009</v>
      </c>
      <c r="Z24" s="6">
        <v>14205.000000000033</v>
      </c>
      <c r="AA24" s="6">
        <v>14344.000000000011</v>
      </c>
      <c r="AB24" s="6">
        <v>14574.000000000002</v>
      </c>
      <c r="AC24" s="6">
        <v>14543.000000000002</v>
      </c>
      <c r="AD24" s="6">
        <v>14615.999999999995</v>
      </c>
      <c r="AE24" s="6">
        <v>14712.000000000013</v>
      </c>
      <c r="AF24" s="6">
        <v>14571.000000000018</v>
      </c>
      <c r="AG24" s="6">
        <v>14733.000000000002</v>
      </c>
      <c r="AH24" s="6">
        <v>14835.999999999993</v>
      </c>
      <c r="AI24" s="6">
        <v>14865.00000000002</v>
      </c>
      <c r="AJ24" s="6">
        <v>14840.999999999967</v>
      </c>
      <c r="AK24" s="6">
        <v>14947.999999999998</v>
      </c>
      <c r="AL24" s="6">
        <v>14970.999999999995</v>
      </c>
      <c r="AM24" s="6">
        <v>15309.000000000018</v>
      </c>
      <c r="AN24" s="6">
        <v>15562.999999999991</v>
      </c>
      <c r="AO24" s="6">
        <v>15404.999999999998</v>
      </c>
      <c r="AP24" s="6">
        <v>15379.999999999993</v>
      </c>
      <c r="AQ24" s="6">
        <v>15431.999999999996</v>
      </c>
      <c r="AR24" s="6">
        <v>15524.000000000004</v>
      </c>
      <c r="AS24" s="6">
        <v>15975.000000000005</v>
      </c>
      <c r="AT24" s="6">
        <v>16102.000000000007</v>
      </c>
      <c r="AU24" s="6">
        <v>16360</v>
      </c>
      <c r="AV24" s="6">
        <v>16257.000000000049</v>
      </c>
      <c r="AW24" s="6">
        <v>16243.999999999998</v>
      </c>
      <c r="AX24" s="6">
        <v>16306.000000000005</v>
      </c>
      <c r="AY24" s="6">
        <v>16417.999999999993</v>
      </c>
      <c r="AZ24" s="6">
        <v>16389.000000000004</v>
      </c>
      <c r="BA24" s="6">
        <v>16476.999999999993</v>
      </c>
      <c r="BB24" s="6">
        <v>16596.000000000004</v>
      </c>
      <c r="BC24" s="6">
        <v>16611.000000000007</v>
      </c>
      <c r="BD24" s="6">
        <v>16645</v>
      </c>
      <c r="BE24" s="6">
        <v>15101.999999999989</v>
      </c>
      <c r="BF24" s="6">
        <v>15527.000000000011</v>
      </c>
      <c r="BG24" s="6">
        <v>15485.000000000002</v>
      </c>
      <c r="BH24" s="6">
        <v>15598.000000000002</v>
      </c>
      <c r="BI24" s="6">
        <v>15941.000000000007</v>
      </c>
      <c r="BJ24" s="6">
        <v>15822.000000000018</v>
      </c>
      <c r="BK24" s="6">
        <v>16105.999999999991</v>
      </c>
      <c r="BL24" s="6">
        <v>16099.000000000004</v>
      </c>
      <c r="BM24" s="6">
        <v>15647.999999999996</v>
      </c>
      <c r="BN24" s="6">
        <v>15983.999999999998</v>
      </c>
      <c r="BO24" s="6">
        <v>15981.000000000004</v>
      </c>
      <c r="BP24" s="6">
        <v>15781.000000000011</v>
      </c>
      <c r="BQ24" s="6">
        <v>15943.999999999995</v>
      </c>
      <c r="BR24" s="6">
        <v>16231.000000000009</v>
      </c>
      <c r="BS24" s="6">
        <v>16187.000000000015</v>
      </c>
      <c r="BT24" s="6">
        <v>16276.000000000004</v>
      </c>
      <c r="BU24" s="6">
        <v>16411.000000000007</v>
      </c>
      <c r="BV24" s="6">
        <v>15194.999999999996</v>
      </c>
      <c r="BW24" s="6">
        <v>15285.000000000009</v>
      </c>
      <c r="BX24" s="6">
        <v>15495.000000000002</v>
      </c>
      <c r="BY24" s="6">
        <v>15532.999999999998</v>
      </c>
      <c r="BZ24" s="6">
        <v>14022.123735493584</v>
      </c>
      <c r="CA24" s="6">
        <v>14141.268985755294</v>
      </c>
      <c r="CB24" s="7">
        <v>5631.0200176942471</v>
      </c>
      <c r="CC24" s="7">
        <v>5615.2764866139159</v>
      </c>
      <c r="CD24" s="7">
        <v>5592.5444690889135</v>
      </c>
      <c r="CE24" s="7">
        <v>5552.2497373557553</v>
      </c>
      <c r="CF24" s="7">
        <v>5554.9131493190444</v>
      </c>
      <c r="CG24" s="7">
        <v>5539.7359834047011</v>
      </c>
      <c r="CH24" s="7">
        <v>5511.9651235751971</v>
      </c>
      <c r="CI24" s="7">
        <v>5485.7735989013599</v>
      </c>
      <c r="CJ24" s="7">
        <v>5497.1844392533039</v>
      </c>
      <c r="CK24" s="7">
        <v>5485.8151083999046</v>
      </c>
      <c r="CL24" s="7">
        <v>5454.0831007180295</v>
      </c>
      <c r="CM24" s="7">
        <v>5423.4140781095621</v>
      </c>
      <c r="CN24" s="7">
        <v>5377.3486051987747</v>
      </c>
      <c r="CO24" s="7">
        <v>5340.5896995100611</v>
      </c>
      <c r="CP24" s="7">
        <v>5274.1924682201188</v>
      </c>
      <c r="CQ24" s="7">
        <v>5250.8336941220568</v>
      </c>
      <c r="CR24" s="7">
        <v>5230.4701920099915</v>
      </c>
      <c r="CS24" s="7">
        <v>5181.2144382729321</v>
      </c>
      <c r="CT24" s="7">
        <v>5124.6653931158089</v>
      </c>
      <c r="CU24" s="7">
        <v>5081.3020430478318</v>
      </c>
      <c r="CV24" s="7">
        <v>5012.7234918206414</v>
      </c>
      <c r="CW24" s="7">
        <v>4962.5112732675225</v>
      </c>
      <c r="CX24" s="7">
        <v>4921.2257733706629</v>
      </c>
      <c r="CY24" s="7">
        <v>4845.6975503419353</v>
      </c>
      <c r="CZ24" s="7">
        <v>4754.8181467308532</v>
      </c>
      <c r="DA24" s="7">
        <v>4725.0596952265514</v>
      </c>
      <c r="DB24" s="7">
        <v>4652.8448100521109</v>
      </c>
      <c r="DC24" s="7">
        <v>4595.3513291646414</v>
      </c>
      <c r="DD24" s="7">
        <v>4553.6577300829076</v>
      </c>
      <c r="DE24" s="7">
        <v>4516.1446620871429</v>
      </c>
      <c r="DF24" s="7">
        <v>4446.4000636846258</v>
      </c>
      <c r="DG24" s="7">
        <v>4394.5459635952311</v>
      </c>
      <c r="DH24" s="7">
        <v>4362.3493342404217</v>
      </c>
      <c r="DI24" s="7">
        <v>4336.8001309093079</v>
      </c>
      <c r="DJ24" s="7">
        <v>4267.2280631441845</v>
      </c>
      <c r="DK24" s="7">
        <v>4193.9103295465948</v>
      </c>
      <c r="DL24" s="7">
        <v>4099.0633039624627</v>
      </c>
      <c r="DM24" s="7">
        <v>4034.2090403699931</v>
      </c>
      <c r="DN24" s="7">
        <v>3940.7536356556616</v>
      </c>
      <c r="DO24" s="7">
        <v>3907.1477432105244</v>
      </c>
      <c r="DP24" s="7">
        <v>3851.0361171718318</v>
      </c>
      <c r="DQ24" s="7">
        <v>3784.9535200655405</v>
      </c>
      <c r="DR24" s="7">
        <v>3765.735105136836</v>
      </c>
      <c r="DS24" s="7">
        <v>3705.3806605334184</v>
      </c>
      <c r="DT24" s="7">
        <v>3655.5763199697594</v>
      </c>
      <c r="DU24" s="7">
        <v>3600.0243042047459</v>
      </c>
      <c r="DV24" s="7">
        <v>3552.82813408322</v>
      </c>
      <c r="DW24" s="7">
        <v>3459.1745500293109</v>
      </c>
      <c r="DX24" s="7">
        <v>3379.6402400710554</v>
      </c>
      <c r="DY24" s="7">
        <v>3333.0893874186086</v>
      </c>
      <c r="DZ24" s="7">
        <v>3245.5766680851539</v>
      </c>
      <c r="EA24" s="7">
        <v>3194.6368069670116</v>
      </c>
      <c r="EB24" s="7">
        <v>3162.8725976488031</v>
      </c>
      <c r="EC24" s="7">
        <v>3103.0685841271902</v>
      </c>
      <c r="ED24" s="7">
        <v>3064.7612539986703</v>
      </c>
      <c r="EE24" s="7">
        <v>3010.322075012944</v>
      </c>
      <c r="EF24" s="7">
        <v>2988.6902902650454</v>
      </c>
      <c r="EG24" s="7">
        <v>2925.242222183158</v>
      </c>
      <c r="EH24" s="7">
        <v>2866.6604999863698</v>
      </c>
      <c r="EI24" s="7">
        <v>2788.8215898811727</v>
      </c>
    </row>
    <row r="25" spans="1:139" x14ac:dyDescent="0.3">
      <c r="A25" s="5" t="s">
        <v>14</v>
      </c>
      <c r="B25" s="6">
        <v>17970</v>
      </c>
      <c r="C25" s="6">
        <v>18358</v>
      </c>
      <c r="D25" s="6">
        <v>18556</v>
      </c>
      <c r="E25" s="6">
        <v>18890</v>
      </c>
      <c r="F25" s="6">
        <v>18548</v>
      </c>
      <c r="G25" s="6">
        <v>20108</v>
      </c>
      <c r="H25" s="6">
        <v>18207</v>
      </c>
      <c r="I25" s="6">
        <v>17794</v>
      </c>
      <c r="J25" s="6">
        <v>19264</v>
      </c>
      <c r="K25" s="6">
        <v>19685</v>
      </c>
      <c r="L25" s="6">
        <v>20013</v>
      </c>
      <c r="M25" s="6">
        <v>20033</v>
      </c>
      <c r="N25" s="6">
        <v>19070</v>
      </c>
      <c r="O25" s="6">
        <v>20367</v>
      </c>
      <c r="P25" s="6">
        <v>20094</v>
      </c>
      <c r="Q25" s="6">
        <v>19851</v>
      </c>
      <c r="R25" s="6">
        <v>19805</v>
      </c>
      <c r="S25" s="6">
        <v>19489</v>
      </c>
      <c r="T25" s="6">
        <v>19436</v>
      </c>
      <c r="U25" s="6">
        <v>20327</v>
      </c>
      <c r="V25" s="6">
        <v>19661</v>
      </c>
      <c r="W25" s="6">
        <v>19719</v>
      </c>
      <c r="X25" s="6">
        <v>21019</v>
      </c>
      <c r="Y25" s="6">
        <v>23988</v>
      </c>
      <c r="Z25" s="6">
        <v>23879</v>
      </c>
      <c r="AA25" s="6">
        <v>22766</v>
      </c>
      <c r="AB25" s="6">
        <v>21119</v>
      </c>
      <c r="AC25" s="6">
        <v>20746</v>
      </c>
      <c r="AD25" s="6">
        <v>20168</v>
      </c>
      <c r="AE25" s="6">
        <v>20083</v>
      </c>
      <c r="AF25" s="6">
        <v>19746</v>
      </c>
      <c r="AG25" s="6">
        <v>20019</v>
      </c>
      <c r="AH25" s="6">
        <v>19804</v>
      </c>
      <c r="AI25" s="6">
        <v>19686</v>
      </c>
      <c r="AJ25" s="6">
        <v>20008</v>
      </c>
      <c r="AK25" s="6">
        <v>20221</v>
      </c>
      <c r="AL25" s="6">
        <v>20179</v>
      </c>
      <c r="AM25" s="6">
        <v>19665</v>
      </c>
      <c r="AN25" s="6">
        <v>19950</v>
      </c>
      <c r="AO25" s="6">
        <v>19719</v>
      </c>
      <c r="AP25" s="6">
        <v>19756</v>
      </c>
      <c r="AQ25" s="6">
        <v>19666</v>
      </c>
      <c r="AR25" s="6">
        <v>19825</v>
      </c>
      <c r="AS25" s="6">
        <v>19908</v>
      </c>
      <c r="AT25" s="6">
        <v>20072</v>
      </c>
      <c r="AU25" s="6">
        <v>21395</v>
      </c>
      <c r="AV25" s="6">
        <v>19939</v>
      </c>
      <c r="AW25" s="6">
        <v>20371</v>
      </c>
      <c r="AX25" s="6">
        <v>20197</v>
      </c>
      <c r="AY25" s="6">
        <v>20235</v>
      </c>
      <c r="AZ25" s="6">
        <v>20615</v>
      </c>
      <c r="BA25" s="6">
        <v>20471</v>
      </c>
      <c r="BB25" s="6">
        <v>20660</v>
      </c>
      <c r="BC25" s="6">
        <v>20858</v>
      </c>
      <c r="BD25" s="6">
        <v>20782</v>
      </c>
      <c r="BE25" s="6">
        <v>20907</v>
      </c>
      <c r="BF25" s="6">
        <v>20990</v>
      </c>
      <c r="BG25" s="6">
        <v>21222</v>
      </c>
      <c r="BH25" s="6">
        <v>20818</v>
      </c>
      <c r="BI25" s="6">
        <v>21209</v>
      </c>
      <c r="BJ25" s="6">
        <v>21326</v>
      </c>
      <c r="BK25" s="6">
        <v>21294</v>
      </c>
      <c r="BL25" s="6">
        <v>21326</v>
      </c>
      <c r="BM25" s="6">
        <v>21259</v>
      </c>
      <c r="BN25" s="6">
        <v>21631</v>
      </c>
      <c r="BO25" s="6">
        <v>21485</v>
      </c>
      <c r="BP25" s="6">
        <v>21644</v>
      </c>
      <c r="BQ25" s="6">
        <v>21843</v>
      </c>
      <c r="BR25" s="6">
        <v>22237</v>
      </c>
      <c r="BS25" s="6">
        <v>21779</v>
      </c>
      <c r="BT25" s="6">
        <v>21868</v>
      </c>
      <c r="BU25" s="6">
        <v>21806</v>
      </c>
      <c r="BV25" s="6">
        <v>21823</v>
      </c>
      <c r="BW25" s="6">
        <v>21915</v>
      </c>
      <c r="BX25" s="6">
        <v>22116</v>
      </c>
      <c r="BY25" s="6">
        <v>22406</v>
      </c>
      <c r="BZ25" s="6">
        <v>22077</v>
      </c>
      <c r="CA25" s="6">
        <v>22117</v>
      </c>
      <c r="CB25" s="7">
        <v>21970.253011538527</v>
      </c>
      <c r="CC25" s="7">
        <v>21961.057764282668</v>
      </c>
      <c r="CD25" s="7">
        <v>21976.386198254266</v>
      </c>
      <c r="CE25" s="7">
        <v>21957.477233808451</v>
      </c>
      <c r="CF25" s="7">
        <v>22037.561404907079</v>
      </c>
      <c r="CG25" s="7">
        <v>22016.715178899067</v>
      </c>
      <c r="CH25" s="7">
        <v>22056.32632257801</v>
      </c>
      <c r="CI25" s="7">
        <v>21863.422806996579</v>
      </c>
      <c r="CJ25" s="7">
        <v>22062.555434187077</v>
      </c>
      <c r="CK25" s="7">
        <v>21981.08767027146</v>
      </c>
      <c r="CL25" s="7">
        <v>21967.743638162126</v>
      </c>
      <c r="CM25" s="7">
        <v>21901.155137758924</v>
      </c>
      <c r="CN25" s="7">
        <v>21889.008388041271</v>
      </c>
      <c r="CO25" s="7">
        <v>21865.707511914679</v>
      </c>
      <c r="CP25" s="7">
        <v>21828.182423521019</v>
      </c>
      <c r="CQ25" s="7">
        <v>21915.21263883396</v>
      </c>
      <c r="CR25" s="7">
        <v>22077.161079220965</v>
      </c>
      <c r="CS25" s="7">
        <v>22097.853464033946</v>
      </c>
      <c r="CT25" s="7">
        <v>22208.871779885794</v>
      </c>
      <c r="CU25" s="7">
        <v>22220.533122669411</v>
      </c>
      <c r="CV25" s="7">
        <v>22254.998069094348</v>
      </c>
      <c r="CW25" s="7">
        <v>22301.692539013635</v>
      </c>
      <c r="CX25" s="7">
        <v>22274.768684241782</v>
      </c>
      <c r="CY25" s="7">
        <v>22306.095735635477</v>
      </c>
      <c r="CZ25" s="7">
        <v>22332.594480206608</v>
      </c>
      <c r="DA25" s="7">
        <v>22365.792374155906</v>
      </c>
      <c r="DB25" s="7">
        <v>22388.260118048907</v>
      </c>
      <c r="DC25" s="7">
        <v>22388.814860019236</v>
      </c>
      <c r="DD25" s="7">
        <v>22373.153568520254</v>
      </c>
      <c r="DE25" s="7">
        <v>22269.482756828511</v>
      </c>
      <c r="DF25" s="7">
        <v>22592.381868695014</v>
      </c>
      <c r="DG25" s="7">
        <v>22620.050587829912</v>
      </c>
      <c r="DH25" s="7">
        <v>22606.590342254429</v>
      </c>
      <c r="DI25" s="7">
        <v>22696.462794023617</v>
      </c>
      <c r="DJ25" s="7">
        <v>22757.587561384389</v>
      </c>
      <c r="DK25" s="7">
        <v>22826.983575482696</v>
      </c>
      <c r="DL25" s="7">
        <v>22872.147233344102</v>
      </c>
      <c r="DM25" s="7">
        <v>22970.254801467338</v>
      </c>
      <c r="DN25" s="7">
        <v>23034.159097492957</v>
      </c>
      <c r="DO25" s="7">
        <v>23009.35155791997</v>
      </c>
      <c r="DP25" s="7">
        <v>23001.8874454383</v>
      </c>
      <c r="DQ25" s="7">
        <v>23124.892209041576</v>
      </c>
      <c r="DR25" s="7">
        <v>23468.82662962189</v>
      </c>
      <c r="DS25" s="7">
        <v>23441.911861222092</v>
      </c>
      <c r="DT25" s="7">
        <v>23510.517970283938</v>
      </c>
      <c r="DU25" s="7">
        <v>23465.965108162309</v>
      </c>
      <c r="DV25" s="7">
        <v>23456.914248152745</v>
      </c>
      <c r="DW25" s="7">
        <v>23525.149940173102</v>
      </c>
      <c r="DX25" s="7">
        <v>23504.681344600438</v>
      </c>
      <c r="DY25" s="7">
        <v>23608.003149773849</v>
      </c>
      <c r="DZ25" s="7">
        <v>23610.944819772758</v>
      </c>
      <c r="EA25" s="7">
        <v>23602.620883497304</v>
      </c>
      <c r="EB25" s="7">
        <v>23663.499171920212</v>
      </c>
      <c r="EC25" s="7">
        <v>23713.092153784397</v>
      </c>
      <c r="ED25" s="7">
        <v>24119.450674213043</v>
      </c>
      <c r="EE25" s="7">
        <v>24102.780668832438</v>
      </c>
      <c r="EF25" s="7">
        <v>24110.977425414487</v>
      </c>
      <c r="EG25" s="7">
        <v>24184.545576943117</v>
      </c>
      <c r="EH25" s="7">
        <v>24150.20683890022</v>
      </c>
      <c r="EI25" s="7">
        <v>24186.009853966916</v>
      </c>
    </row>
    <row r="26" spans="1:139" x14ac:dyDescent="0.3">
      <c r="A26" s="5" t="s">
        <v>15</v>
      </c>
      <c r="B26" s="6">
        <v>1585</v>
      </c>
      <c r="C26" s="6">
        <v>1571</v>
      </c>
      <c r="D26" s="6">
        <v>1589</v>
      </c>
      <c r="E26" s="6">
        <v>1577</v>
      </c>
      <c r="F26" s="6">
        <v>1609</v>
      </c>
      <c r="G26" s="6">
        <v>1608</v>
      </c>
      <c r="H26" s="6">
        <v>1608</v>
      </c>
      <c r="I26" s="6">
        <v>1628</v>
      </c>
      <c r="J26" s="6">
        <v>1649</v>
      </c>
      <c r="K26" s="6">
        <v>1636</v>
      </c>
      <c r="L26" s="6">
        <v>1680</v>
      </c>
      <c r="M26" s="6">
        <v>1640</v>
      </c>
      <c r="N26" s="6">
        <v>1665</v>
      </c>
      <c r="O26" s="6">
        <v>1675</v>
      </c>
      <c r="P26" s="6">
        <v>1694</v>
      </c>
      <c r="Q26" s="6">
        <v>1672</v>
      </c>
      <c r="R26" s="6">
        <v>1664</v>
      </c>
      <c r="S26" s="6">
        <v>1671</v>
      </c>
      <c r="T26" s="6">
        <v>1719</v>
      </c>
      <c r="U26" s="6">
        <v>1733</v>
      </c>
      <c r="V26" s="6">
        <v>1711</v>
      </c>
      <c r="W26" s="6">
        <v>1738</v>
      </c>
      <c r="X26" s="6">
        <v>1790</v>
      </c>
      <c r="Y26" s="6">
        <v>1788</v>
      </c>
      <c r="Z26" s="6">
        <v>1718</v>
      </c>
      <c r="AA26" s="6">
        <v>1805</v>
      </c>
      <c r="AB26" s="6">
        <v>1727</v>
      </c>
      <c r="AC26" s="6">
        <v>1708</v>
      </c>
      <c r="AD26" s="6">
        <v>1723</v>
      </c>
      <c r="AE26" s="6">
        <v>1739</v>
      </c>
      <c r="AF26" s="6">
        <v>1747</v>
      </c>
      <c r="AG26" s="6">
        <v>1793</v>
      </c>
      <c r="AH26" s="6">
        <v>1797</v>
      </c>
      <c r="AI26" s="6">
        <v>1798</v>
      </c>
      <c r="AJ26" s="6">
        <v>1806</v>
      </c>
      <c r="AK26" s="6">
        <v>1795</v>
      </c>
      <c r="AL26" s="6">
        <v>1820</v>
      </c>
      <c r="AM26" s="6">
        <v>1832</v>
      </c>
      <c r="AN26" s="6">
        <v>1841</v>
      </c>
      <c r="AO26" s="6">
        <v>1833</v>
      </c>
      <c r="AP26" s="6">
        <v>1836</v>
      </c>
      <c r="AQ26" s="6">
        <v>1863</v>
      </c>
      <c r="AR26" s="6">
        <v>1883</v>
      </c>
      <c r="AS26" s="6">
        <v>1870</v>
      </c>
      <c r="AT26" s="6">
        <v>1882</v>
      </c>
      <c r="AU26" s="6">
        <v>1890</v>
      </c>
      <c r="AV26" s="6">
        <v>1920</v>
      </c>
      <c r="AW26" s="6">
        <v>1931</v>
      </c>
      <c r="AX26" s="6">
        <v>1912</v>
      </c>
      <c r="AY26" s="6">
        <v>1926</v>
      </c>
      <c r="AZ26" s="6">
        <v>1945</v>
      </c>
      <c r="BA26" s="6">
        <v>1973</v>
      </c>
      <c r="BB26" s="6">
        <v>1967</v>
      </c>
      <c r="BC26" s="6">
        <v>1958</v>
      </c>
      <c r="BD26" s="6">
        <v>2033</v>
      </c>
      <c r="BE26" s="6">
        <v>2059</v>
      </c>
      <c r="BF26" s="6">
        <v>2012</v>
      </c>
      <c r="BG26" s="6">
        <v>1989</v>
      </c>
      <c r="BH26" s="6">
        <v>1971</v>
      </c>
      <c r="BI26" s="6">
        <v>1983</v>
      </c>
      <c r="BJ26" s="6">
        <v>1978</v>
      </c>
      <c r="BK26" s="6">
        <v>1969</v>
      </c>
      <c r="BL26" s="6">
        <v>2022</v>
      </c>
      <c r="BM26" s="6">
        <v>1981</v>
      </c>
      <c r="BN26" s="6">
        <v>1989</v>
      </c>
      <c r="BO26" s="6">
        <v>1980</v>
      </c>
      <c r="BP26" s="6">
        <v>2027</v>
      </c>
      <c r="BQ26" s="6">
        <v>2051</v>
      </c>
      <c r="BR26" s="6">
        <v>2014</v>
      </c>
      <c r="BS26" s="6">
        <v>1997</v>
      </c>
      <c r="BT26" s="6">
        <v>2060</v>
      </c>
      <c r="BU26" s="6">
        <v>2023</v>
      </c>
      <c r="BV26" s="6">
        <v>2039</v>
      </c>
      <c r="BW26" s="6">
        <v>2030</v>
      </c>
      <c r="BX26" s="6">
        <v>2110</v>
      </c>
      <c r="BY26" s="6">
        <v>2078</v>
      </c>
      <c r="BZ26" s="6">
        <v>2101</v>
      </c>
      <c r="CA26" s="6">
        <v>2142</v>
      </c>
      <c r="CB26" s="7">
        <v>1593.6391876761877</v>
      </c>
      <c r="CC26" s="7">
        <v>1587.9877811562753</v>
      </c>
      <c r="CD26" s="7">
        <v>1588.9723869713171</v>
      </c>
      <c r="CE26" s="7">
        <v>1587.4048731102125</v>
      </c>
      <c r="CF26" s="7">
        <v>1585.4963488843819</v>
      </c>
      <c r="CG26" s="7">
        <v>1673.9250691311966</v>
      </c>
      <c r="CH26" s="7">
        <v>1662.8555520091923</v>
      </c>
      <c r="CI26" s="7">
        <v>1659.8122375212447</v>
      </c>
      <c r="CJ26" s="7">
        <v>1655.3142569887423</v>
      </c>
      <c r="CK26" s="7">
        <v>1649.2419376307494</v>
      </c>
      <c r="CL26" s="7">
        <v>1648.1189266983672</v>
      </c>
      <c r="CM26" s="7">
        <v>1638.7185703346886</v>
      </c>
      <c r="CN26" s="7">
        <v>1629.6841540767323</v>
      </c>
      <c r="CO26" s="7">
        <v>1621.8084438093731</v>
      </c>
      <c r="CP26" s="7">
        <v>1620.5225927812828</v>
      </c>
      <c r="CQ26" s="7">
        <v>1618.2546297747244</v>
      </c>
      <c r="CR26" s="7">
        <v>1606.6801813145312</v>
      </c>
      <c r="CS26" s="7">
        <v>1690.4501366576146</v>
      </c>
      <c r="CT26" s="7">
        <v>1682.7355183089569</v>
      </c>
      <c r="CU26" s="7">
        <v>1684.3042759051191</v>
      </c>
      <c r="CV26" s="7">
        <v>1674.4843002604566</v>
      </c>
      <c r="CW26" s="7">
        <v>1671.0140703856728</v>
      </c>
      <c r="CX26" s="7">
        <v>1665.2750471938591</v>
      </c>
      <c r="CY26" s="7">
        <v>1657.7609237332235</v>
      </c>
      <c r="CZ26" s="7">
        <v>1658.2839009055024</v>
      </c>
      <c r="DA26" s="7">
        <v>1652.7913344497467</v>
      </c>
      <c r="DB26" s="7">
        <v>1648.990778504563</v>
      </c>
      <c r="DC26" s="7">
        <v>1645.7106824807329</v>
      </c>
      <c r="DD26" s="7">
        <v>1631.3789154857482</v>
      </c>
      <c r="DE26" s="7">
        <v>1720.8736398445276</v>
      </c>
      <c r="DF26" s="7">
        <v>1719.2059815104317</v>
      </c>
      <c r="DG26" s="7">
        <v>1719.0862494097416</v>
      </c>
      <c r="DH26" s="7">
        <v>1708.9520896184461</v>
      </c>
      <c r="DI26" s="7">
        <v>1706.468858927253</v>
      </c>
      <c r="DJ26" s="7">
        <v>1713.0759176154609</v>
      </c>
      <c r="DK26" s="7">
        <v>1706.2599868093937</v>
      </c>
      <c r="DL26" s="7">
        <v>1695.8346497629325</v>
      </c>
      <c r="DM26" s="7">
        <v>1696.3404029133264</v>
      </c>
      <c r="DN26" s="7">
        <v>1678.4132743911919</v>
      </c>
      <c r="DO26" s="7">
        <v>1682.543506868966</v>
      </c>
      <c r="DP26" s="7">
        <v>1653.3019773583337</v>
      </c>
      <c r="DQ26" s="7">
        <v>1760.494051750358</v>
      </c>
      <c r="DR26" s="7">
        <v>1756.4972439637418</v>
      </c>
      <c r="DS26" s="7">
        <v>1750.2962264719019</v>
      </c>
      <c r="DT26" s="7">
        <v>1752.7961881214603</v>
      </c>
      <c r="DU26" s="7">
        <v>1746.6074625517883</v>
      </c>
      <c r="DV26" s="7">
        <v>1739.8375234656794</v>
      </c>
      <c r="DW26" s="7">
        <v>1738.6277701014676</v>
      </c>
      <c r="DX26" s="7">
        <v>1739.3856560988547</v>
      </c>
      <c r="DY26" s="7">
        <v>1732.9271963639833</v>
      </c>
      <c r="DZ26" s="7">
        <v>1725.5399429255265</v>
      </c>
      <c r="EA26" s="7">
        <v>1725.7913752245543</v>
      </c>
      <c r="EB26" s="7">
        <v>1728.7328746140586</v>
      </c>
      <c r="EC26" s="7">
        <v>1814.5240640364118</v>
      </c>
      <c r="ED26" s="7">
        <v>1806.7555143524244</v>
      </c>
      <c r="EE26" s="7">
        <v>1813.6732144548646</v>
      </c>
      <c r="EF26" s="7">
        <v>1803.6247471026402</v>
      </c>
      <c r="EG26" s="7">
        <v>1800.7066845359982</v>
      </c>
      <c r="EH26" s="7">
        <v>1796.4249606520084</v>
      </c>
      <c r="EI26" s="7">
        <v>1802.6292703897197</v>
      </c>
    </row>
    <row r="27" spans="1:139" x14ac:dyDescent="0.3">
      <c r="A27" s="5" t="s">
        <v>16</v>
      </c>
      <c r="B27" s="6">
        <v>431</v>
      </c>
      <c r="C27" s="6">
        <v>422</v>
      </c>
      <c r="D27" s="6">
        <v>431</v>
      </c>
      <c r="E27" s="6">
        <v>434</v>
      </c>
      <c r="F27" s="6">
        <v>423</v>
      </c>
      <c r="G27" s="6">
        <v>426</v>
      </c>
      <c r="H27" s="6">
        <v>418</v>
      </c>
      <c r="I27" s="6">
        <v>424</v>
      </c>
      <c r="J27" s="6">
        <v>420</v>
      </c>
      <c r="K27" s="6">
        <v>429</v>
      </c>
      <c r="L27" s="6">
        <v>427</v>
      </c>
      <c r="M27" s="6">
        <v>426</v>
      </c>
      <c r="N27" s="6">
        <v>425</v>
      </c>
      <c r="O27" s="6">
        <v>425</v>
      </c>
      <c r="P27" s="6">
        <v>419</v>
      </c>
      <c r="Q27" s="6">
        <v>408</v>
      </c>
      <c r="R27" s="6">
        <v>420</v>
      </c>
      <c r="S27" s="6">
        <v>405</v>
      </c>
      <c r="T27" s="6">
        <v>413</v>
      </c>
      <c r="U27" s="6">
        <v>418</v>
      </c>
      <c r="V27" s="6">
        <v>420</v>
      </c>
      <c r="W27" s="6">
        <v>425</v>
      </c>
      <c r="X27" s="6">
        <v>435</v>
      </c>
      <c r="Y27" s="6">
        <v>416</v>
      </c>
      <c r="Z27" s="6">
        <v>394</v>
      </c>
      <c r="AA27" s="6">
        <v>429</v>
      </c>
      <c r="AB27" s="6">
        <v>399</v>
      </c>
      <c r="AC27" s="6">
        <v>391</v>
      </c>
      <c r="AD27" s="6">
        <v>412</v>
      </c>
      <c r="AE27" s="6">
        <v>389</v>
      </c>
      <c r="AF27" s="6">
        <v>388</v>
      </c>
      <c r="AG27" s="6">
        <v>392</v>
      </c>
      <c r="AH27" s="6">
        <v>403</v>
      </c>
      <c r="AI27" s="6">
        <v>405</v>
      </c>
      <c r="AJ27" s="6">
        <v>395</v>
      </c>
      <c r="AK27" s="6">
        <v>407</v>
      </c>
      <c r="AL27" s="6">
        <v>391</v>
      </c>
      <c r="AM27" s="6">
        <v>407</v>
      </c>
      <c r="AN27" s="6">
        <v>384</v>
      </c>
      <c r="AO27" s="6">
        <v>378</v>
      </c>
      <c r="AP27" s="6">
        <v>374</v>
      </c>
      <c r="AQ27" s="6">
        <v>382</v>
      </c>
      <c r="AR27" s="6">
        <v>411</v>
      </c>
      <c r="AS27" s="6">
        <v>383</v>
      </c>
      <c r="AT27" s="6">
        <v>387</v>
      </c>
      <c r="AU27" s="6">
        <v>398</v>
      </c>
      <c r="AV27" s="6">
        <v>382</v>
      </c>
      <c r="AW27" s="6">
        <v>395</v>
      </c>
      <c r="AX27" s="6">
        <v>406</v>
      </c>
      <c r="AY27" s="6">
        <v>404</v>
      </c>
      <c r="AZ27" s="6">
        <v>390</v>
      </c>
      <c r="BA27" s="6">
        <v>400</v>
      </c>
      <c r="BB27" s="6">
        <v>388</v>
      </c>
      <c r="BC27" s="6">
        <v>393</v>
      </c>
      <c r="BD27" s="6">
        <v>383</v>
      </c>
      <c r="BE27" s="6">
        <v>384</v>
      </c>
      <c r="BF27" s="6">
        <v>394</v>
      </c>
      <c r="BG27" s="6">
        <v>380</v>
      </c>
      <c r="BH27" s="6">
        <v>388</v>
      </c>
      <c r="BI27" s="6">
        <v>382</v>
      </c>
      <c r="BJ27" s="6">
        <v>377</v>
      </c>
      <c r="BK27" s="6">
        <v>389</v>
      </c>
      <c r="BL27" s="6">
        <v>405</v>
      </c>
      <c r="BM27" s="6">
        <v>404</v>
      </c>
      <c r="BN27" s="6">
        <v>400</v>
      </c>
      <c r="BO27" s="6">
        <v>421</v>
      </c>
      <c r="BP27" s="6">
        <v>406</v>
      </c>
      <c r="BQ27" s="6">
        <v>398</v>
      </c>
      <c r="BR27" s="6">
        <v>387</v>
      </c>
      <c r="BS27" s="6">
        <v>389</v>
      </c>
      <c r="BT27" s="6">
        <v>413</v>
      </c>
      <c r="BU27" s="6">
        <v>402</v>
      </c>
      <c r="BV27" s="6">
        <v>414</v>
      </c>
      <c r="BW27" s="6">
        <v>403</v>
      </c>
      <c r="BX27" s="6">
        <v>407</v>
      </c>
      <c r="BY27" s="6">
        <v>417</v>
      </c>
      <c r="BZ27" s="6">
        <v>401</v>
      </c>
      <c r="CA27" s="6">
        <v>413</v>
      </c>
      <c r="CB27" s="7">
        <v>223.46527777777777</v>
      </c>
      <c r="CC27" s="7">
        <v>223.4652777777778</v>
      </c>
      <c r="CD27" s="7">
        <v>223.46527777777774</v>
      </c>
      <c r="CE27" s="7">
        <v>223.46527777777771</v>
      </c>
      <c r="CF27" s="7">
        <v>223.46527777777777</v>
      </c>
      <c r="CG27" s="7">
        <v>246.46527777777771</v>
      </c>
      <c r="CH27" s="7">
        <v>246.46527777777771</v>
      </c>
      <c r="CI27" s="7">
        <v>246.46527777777771</v>
      </c>
      <c r="CJ27" s="7">
        <v>246.46527777777774</v>
      </c>
      <c r="CK27" s="7">
        <v>246.46527777777771</v>
      </c>
      <c r="CL27" s="7">
        <v>246.46527777777774</v>
      </c>
      <c r="CM27" s="7">
        <v>246.46527777777766</v>
      </c>
      <c r="CN27" s="7">
        <v>244.5972222222222</v>
      </c>
      <c r="CO27" s="7">
        <v>244.5972222222222</v>
      </c>
      <c r="CP27" s="7">
        <v>244.59722222222217</v>
      </c>
      <c r="CQ27" s="7">
        <v>244.59722222222217</v>
      </c>
      <c r="CR27" s="7">
        <v>244.59722222222217</v>
      </c>
      <c r="CS27" s="7">
        <v>266.59722222222223</v>
      </c>
      <c r="CT27" s="7">
        <v>266.59722222222217</v>
      </c>
      <c r="CU27" s="7">
        <v>266.59722222222217</v>
      </c>
      <c r="CV27" s="7">
        <v>266.59722222222223</v>
      </c>
      <c r="CW27" s="7">
        <v>266.59722222222217</v>
      </c>
      <c r="CX27" s="7">
        <v>266.59722222222229</v>
      </c>
      <c r="CY27" s="7">
        <v>265.22300973654063</v>
      </c>
      <c r="CZ27" s="7">
        <v>263.36468962585025</v>
      </c>
      <c r="DA27" s="7">
        <v>263.40155431486073</v>
      </c>
      <c r="DB27" s="7">
        <v>263.40804183813435</v>
      </c>
      <c r="DC27" s="7">
        <v>263.37494725738395</v>
      </c>
      <c r="DD27" s="7">
        <v>263.41446560196556</v>
      </c>
      <c r="DE27" s="7">
        <v>286.24358837737987</v>
      </c>
      <c r="DF27" s="7">
        <v>286.30144348894345</v>
      </c>
      <c r="DG27" s="7">
        <v>286.21676070601842</v>
      </c>
      <c r="DH27" s="7">
        <v>286.19297472075243</v>
      </c>
      <c r="DI27" s="7">
        <v>286.17669340463453</v>
      </c>
      <c r="DJ27" s="7">
        <v>286.20891506689929</v>
      </c>
      <c r="DK27" s="7">
        <v>286.3152034333603</v>
      </c>
      <c r="DL27" s="7">
        <v>284.01604656222793</v>
      </c>
      <c r="DM27" s="7">
        <v>284.03145635946021</v>
      </c>
      <c r="DN27" s="7">
        <v>284.07223618090455</v>
      </c>
      <c r="DO27" s="7">
        <v>284.01214368819075</v>
      </c>
      <c r="DP27" s="7">
        <v>284.06133966244727</v>
      </c>
      <c r="DQ27" s="7">
        <v>312.9576491516147</v>
      </c>
      <c r="DR27" s="7">
        <v>312.94997937293726</v>
      </c>
      <c r="DS27" s="7">
        <v>312.89408831908833</v>
      </c>
      <c r="DT27" s="7">
        <v>312.9344097222222</v>
      </c>
      <c r="DU27" s="7">
        <v>312.88577462772054</v>
      </c>
      <c r="DV27" s="7">
        <v>312.90640019790789</v>
      </c>
      <c r="DW27" s="7">
        <v>312.86461053089641</v>
      </c>
      <c r="DX27" s="7">
        <v>310.3197337962963</v>
      </c>
      <c r="DY27" s="7">
        <v>310.36097010716298</v>
      </c>
      <c r="DZ27" s="7">
        <v>308.66081871345034</v>
      </c>
      <c r="EA27" s="7">
        <v>308.72852233676974</v>
      </c>
      <c r="EB27" s="7">
        <v>308.67801047120417</v>
      </c>
      <c r="EC27" s="7">
        <v>340.29516651930436</v>
      </c>
      <c r="ED27" s="7">
        <v>338.63938874607254</v>
      </c>
      <c r="EE27" s="7">
        <v>339.69821673525382</v>
      </c>
      <c r="EF27" s="7">
        <v>339.68770627062707</v>
      </c>
      <c r="EG27" s="7">
        <v>339.64513888888888</v>
      </c>
      <c r="EH27" s="7">
        <v>339.85959356030611</v>
      </c>
      <c r="EI27" s="7">
        <v>338.01436781609192</v>
      </c>
    </row>
    <row r="28" spans="1:139" x14ac:dyDescent="0.3">
      <c r="A28" s="5" t="s">
        <v>17</v>
      </c>
      <c r="B28" s="6">
        <v>430</v>
      </c>
      <c r="C28" s="6">
        <v>421</v>
      </c>
      <c r="D28" s="6">
        <v>430</v>
      </c>
      <c r="E28" s="6">
        <v>433</v>
      </c>
      <c r="F28" s="6">
        <v>422</v>
      </c>
      <c r="G28" s="6">
        <v>425</v>
      </c>
      <c r="H28" s="6">
        <v>417</v>
      </c>
      <c r="I28" s="6">
        <v>423</v>
      </c>
      <c r="J28" s="6">
        <v>419</v>
      </c>
      <c r="K28" s="6">
        <v>428</v>
      </c>
      <c r="L28" s="6">
        <v>426</v>
      </c>
      <c r="M28" s="6">
        <v>425</v>
      </c>
      <c r="N28" s="6">
        <v>424</v>
      </c>
      <c r="O28" s="6">
        <v>425</v>
      </c>
      <c r="P28" s="6">
        <v>418</v>
      </c>
      <c r="Q28" s="6">
        <v>407</v>
      </c>
      <c r="R28" s="6">
        <v>419</v>
      </c>
      <c r="S28" s="6">
        <v>404</v>
      </c>
      <c r="T28" s="6">
        <v>412</v>
      </c>
      <c r="U28" s="6">
        <v>418</v>
      </c>
      <c r="V28" s="6">
        <v>418</v>
      </c>
      <c r="W28" s="6">
        <v>424</v>
      </c>
      <c r="X28" s="6">
        <v>434</v>
      </c>
      <c r="Y28" s="6">
        <v>415</v>
      </c>
      <c r="Z28" s="6">
        <v>393</v>
      </c>
      <c r="AA28" s="6">
        <v>428</v>
      </c>
      <c r="AB28" s="6">
        <v>398</v>
      </c>
      <c r="AC28" s="6">
        <v>390</v>
      </c>
      <c r="AD28" s="6">
        <v>411</v>
      </c>
      <c r="AE28" s="6">
        <v>388</v>
      </c>
      <c r="AF28" s="6">
        <v>387</v>
      </c>
      <c r="AG28" s="6">
        <v>391</v>
      </c>
      <c r="AH28" s="6">
        <v>402</v>
      </c>
      <c r="AI28" s="6">
        <v>404</v>
      </c>
      <c r="AJ28" s="6">
        <v>394</v>
      </c>
      <c r="AK28" s="6">
        <v>406</v>
      </c>
      <c r="AL28" s="6">
        <v>390</v>
      </c>
      <c r="AM28" s="6">
        <v>405</v>
      </c>
      <c r="AN28" s="6">
        <v>382</v>
      </c>
      <c r="AO28" s="6">
        <v>377</v>
      </c>
      <c r="AP28" s="6">
        <v>372</v>
      </c>
      <c r="AQ28" s="6">
        <v>381</v>
      </c>
      <c r="AR28" s="6">
        <v>410</v>
      </c>
      <c r="AS28" s="6">
        <v>382</v>
      </c>
      <c r="AT28" s="6">
        <v>386</v>
      </c>
      <c r="AU28" s="6">
        <v>396</v>
      </c>
      <c r="AV28" s="6">
        <v>380</v>
      </c>
      <c r="AW28" s="6">
        <v>393</v>
      </c>
      <c r="AX28" s="6">
        <v>404</v>
      </c>
      <c r="AY28" s="6">
        <v>402</v>
      </c>
      <c r="AZ28" s="6">
        <v>388</v>
      </c>
      <c r="BA28" s="6">
        <v>397</v>
      </c>
      <c r="BB28" s="6">
        <v>385</v>
      </c>
      <c r="BC28" s="6">
        <v>390</v>
      </c>
      <c r="BD28" s="6">
        <v>380</v>
      </c>
      <c r="BE28" s="6">
        <v>382</v>
      </c>
      <c r="BF28" s="6">
        <v>392</v>
      </c>
      <c r="BG28" s="6">
        <v>377</v>
      </c>
      <c r="BH28" s="6">
        <v>385</v>
      </c>
      <c r="BI28" s="6">
        <v>380</v>
      </c>
      <c r="BJ28" s="6">
        <v>375</v>
      </c>
      <c r="BK28" s="6">
        <v>387</v>
      </c>
      <c r="BL28" s="6">
        <v>402</v>
      </c>
      <c r="BM28" s="6">
        <v>401</v>
      </c>
      <c r="BN28" s="6">
        <v>397</v>
      </c>
      <c r="BO28" s="6">
        <v>418</v>
      </c>
      <c r="BP28" s="6">
        <v>403</v>
      </c>
      <c r="BQ28" s="6">
        <v>395</v>
      </c>
      <c r="BR28" s="6">
        <v>383</v>
      </c>
      <c r="BS28" s="6">
        <v>385</v>
      </c>
      <c r="BT28" s="6">
        <v>409</v>
      </c>
      <c r="BU28" s="6">
        <v>398</v>
      </c>
      <c r="BV28" s="6">
        <v>410</v>
      </c>
      <c r="BW28" s="6">
        <v>399</v>
      </c>
      <c r="BX28" s="6">
        <v>402</v>
      </c>
      <c r="BY28" s="6">
        <v>412</v>
      </c>
      <c r="BZ28" s="6">
        <v>396</v>
      </c>
      <c r="CA28" s="6">
        <v>408</v>
      </c>
      <c r="CB28" s="7">
        <v>221.46527777777777</v>
      </c>
      <c r="CC28" s="7">
        <v>221.4652777777778</v>
      </c>
      <c r="CD28" s="7">
        <v>221.46527777777774</v>
      </c>
      <c r="CE28" s="7">
        <v>221.46527777777771</v>
      </c>
      <c r="CF28" s="7">
        <v>221.46527777777777</v>
      </c>
      <c r="CG28" s="7">
        <v>243.46527777777771</v>
      </c>
      <c r="CH28" s="7">
        <v>243.46527777777771</v>
      </c>
      <c r="CI28" s="7">
        <v>243.46527777777771</v>
      </c>
      <c r="CJ28" s="7">
        <v>243.46527777777774</v>
      </c>
      <c r="CK28" s="7">
        <v>243.46527777777771</v>
      </c>
      <c r="CL28" s="7">
        <v>243.46527777777774</v>
      </c>
      <c r="CM28" s="7">
        <v>242.46527777777766</v>
      </c>
      <c r="CN28" s="7">
        <v>240.5972222222222</v>
      </c>
      <c r="CO28" s="7">
        <v>240.5972222222222</v>
      </c>
      <c r="CP28" s="7">
        <v>240.59722222222217</v>
      </c>
      <c r="CQ28" s="7">
        <v>240.59722222222217</v>
      </c>
      <c r="CR28" s="7">
        <v>240.59722222222217</v>
      </c>
      <c r="CS28" s="7">
        <v>262.59722222222223</v>
      </c>
      <c r="CT28" s="7">
        <v>262.59722222222217</v>
      </c>
      <c r="CU28" s="7">
        <v>262.59722222222217</v>
      </c>
      <c r="CV28" s="7">
        <v>262.59722222222223</v>
      </c>
      <c r="CW28" s="7">
        <v>262.59722222222217</v>
      </c>
      <c r="CX28" s="7">
        <v>262.59722222222229</v>
      </c>
      <c r="CY28" s="7">
        <v>261.22300973654063</v>
      </c>
      <c r="CZ28" s="7">
        <v>259.36468962585025</v>
      </c>
      <c r="DA28" s="7">
        <v>259.40155431486073</v>
      </c>
      <c r="DB28" s="7">
        <v>259.40804183813435</v>
      </c>
      <c r="DC28" s="7">
        <v>259.37494725738395</v>
      </c>
      <c r="DD28" s="7">
        <v>259.41446560196556</v>
      </c>
      <c r="DE28" s="7">
        <v>282.24358837737987</v>
      </c>
      <c r="DF28" s="7">
        <v>282.30144348894345</v>
      </c>
      <c r="DG28" s="7">
        <v>282.21676070601842</v>
      </c>
      <c r="DH28" s="7">
        <v>282.19297472075243</v>
      </c>
      <c r="DI28" s="7">
        <v>282.17669340463453</v>
      </c>
      <c r="DJ28" s="7">
        <v>282.20891506689929</v>
      </c>
      <c r="DK28" s="7">
        <v>282.3152034333603</v>
      </c>
      <c r="DL28" s="7">
        <v>280.01604656222793</v>
      </c>
      <c r="DM28" s="7">
        <v>280.03145635946021</v>
      </c>
      <c r="DN28" s="7">
        <v>280.07223618090455</v>
      </c>
      <c r="DO28" s="7">
        <v>280.01214368819075</v>
      </c>
      <c r="DP28" s="7">
        <v>280.06133966244727</v>
      </c>
      <c r="DQ28" s="7">
        <v>308.9576491516147</v>
      </c>
      <c r="DR28" s="7">
        <v>308.94997937293726</v>
      </c>
      <c r="DS28" s="7">
        <v>308.89408831908833</v>
      </c>
      <c r="DT28" s="7">
        <v>308.9344097222222</v>
      </c>
      <c r="DU28" s="7">
        <v>308.88577462772054</v>
      </c>
      <c r="DV28" s="7">
        <v>308.90640019790789</v>
      </c>
      <c r="DW28" s="7">
        <v>308.86461053089641</v>
      </c>
      <c r="DX28" s="7">
        <v>306.3197337962963</v>
      </c>
      <c r="DY28" s="7">
        <v>306.36097010716298</v>
      </c>
      <c r="DZ28" s="7">
        <v>304.66081871345034</v>
      </c>
      <c r="EA28" s="7">
        <v>304.72852233676974</v>
      </c>
      <c r="EB28" s="7">
        <v>304.67801047120417</v>
      </c>
      <c r="EC28" s="7">
        <v>336.29516651930436</v>
      </c>
      <c r="ED28" s="7">
        <v>334.63938874607254</v>
      </c>
      <c r="EE28" s="7">
        <v>335.69821673525382</v>
      </c>
      <c r="EF28" s="7">
        <v>335.68770627062707</v>
      </c>
      <c r="EG28" s="7">
        <v>335.64513888888888</v>
      </c>
      <c r="EH28" s="7">
        <v>335.85959356030611</v>
      </c>
      <c r="EI28" s="7">
        <v>335.85959356030611</v>
      </c>
    </row>
    <row r="29" spans="1:139" x14ac:dyDescent="0.3">
      <c r="A29" s="5" t="s">
        <v>18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1</v>
      </c>
      <c r="DQ29" s="7">
        <v>1</v>
      </c>
      <c r="DR29" s="7">
        <v>1</v>
      </c>
      <c r="DS29" s="7">
        <v>1</v>
      </c>
      <c r="DT29" s="7">
        <v>1</v>
      </c>
      <c r="DU29" s="7">
        <v>1</v>
      </c>
      <c r="DV29" s="7">
        <v>1</v>
      </c>
      <c r="DW29" s="7">
        <v>1</v>
      </c>
      <c r="DX29" s="7">
        <v>1</v>
      </c>
      <c r="DY29" s="7">
        <v>1</v>
      </c>
      <c r="DZ29" s="7">
        <v>1</v>
      </c>
      <c r="EA29" s="7">
        <v>1</v>
      </c>
      <c r="EB29" s="7">
        <v>1</v>
      </c>
      <c r="EC29" s="7">
        <v>1</v>
      </c>
      <c r="ED29" s="7">
        <v>1</v>
      </c>
      <c r="EE29" s="7">
        <v>1</v>
      </c>
      <c r="EF29" s="7">
        <v>1</v>
      </c>
      <c r="EG29" s="7">
        <v>1</v>
      </c>
      <c r="EH29" s="7">
        <v>1</v>
      </c>
      <c r="EI29" s="7">
        <v>1</v>
      </c>
    </row>
    <row r="30" spans="1:139" x14ac:dyDescent="0.3">
      <c r="A30" s="5" t="s">
        <v>19</v>
      </c>
      <c r="B30" s="6">
        <v>1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0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0</v>
      </c>
      <c r="V30" s="6">
        <v>2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2</v>
      </c>
      <c r="AN30" s="6">
        <v>2</v>
      </c>
      <c r="AO30" s="6">
        <v>1</v>
      </c>
      <c r="AP30" s="6">
        <v>2</v>
      </c>
      <c r="AQ30" s="6">
        <v>1</v>
      </c>
      <c r="AR30" s="6">
        <v>1</v>
      </c>
      <c r="AS30" s="6">
        <v>1</v>
      </c>
      <c r="AT30" s="6">
        <v>1</v>
      </c>
      <c r="AU30" s="6">
        <v>2</v>
      </c>
      <c r="AV30" s="6">
        <v>2</v>
      </c>
      <c r="AW30" s="6">
        <v>2</v>
      </c>
      <c r="AX30" s="6">
        <v>2</v>
      </c>
      <c r="AY30" s="6">
        <v>2</v>
      </c>
      <c r="AZ30" s="6">
        <v>2</v>
      </c>
      <c r="BA30" s="6">
        <v>3</v>
      </c>
      <c r="BB30" s="6">
        <v>3</v>
      </c>
      <c r="BC30" s="6">
        <v>3</v>
      </c>
      <c r="BD30" s="6">
        <v>3</v>
      </c>
      <c r="BE30" s="6">
        <v>2</v>
      </c>
      <c r="BF30" s="6">
        <v>2</v>
      </c>
      <c r="BG30" s="6">
        <v>3</v>
      </c>
      <c r="BH30" s="6">
        <v>3</v>
      </c>
      <c r="BI30" s="6">
        <v>2</v>
      </c>
      <c r="BJ30" s="6">
        <v>2</v>
      </c>
      <c r="BK30" s="6">
        <v>2</v>
      </c>
      <c r="BL30" s="6">
        <v>3</v>
      </c>
      <c r="BM30" s="6">
        <v>3</v>
      </c>
      <c r="BN30" s="6">
        <v>3</v>
      </c>
      <c r="BO30" s="6">
        <v>3</v>
      </c>
      <c r="BP30" s="6">
        <v>3</v>
      </c>
      <c r="BQ30" s="6">
        <v>3</v>
      </c>
      <c r="BR30" s="6">
        <v>4</v>
      </c>
      <c r="BS30" s="6">
        <v>4</v>
      </c>
      <c r="BT30" s="6">
        <v>4</v>
      </c>
      <c r="BU30" s="6">
        <v>4</v>
      </c>
      <c r="BV30" s="6">
        <v>4</v>
      </c>
      <c r="BW30" s="6">
        <v>4</v>
      </c>
      <c r="BX30" s="6">
        <v>5</v>
      </c>
      <c r="BY30" s="6">
        <v>5</v>
      </c>
      <c r="BZ30" s="6">
        <v>5</v>
      </c>
      <c r="CA30" s="6">
        <v>5</v>
      </c>
      <c r="CB30" s="7">
        <v>2</v>
      </c>
      <c r="CC30" s="7">
        <v>2</v>
      </c>
      <c r="CD30" s="7">
        <v>2</v>
      </c>
      <c r="CE30" s="7">
        <v>2</v>
      </c>
      <c r="CF30" s="7">
        <v>2</v>
      </c>
      <c r="CG30" s="7">
        <v>3</v>
      </c>
      <c r="CH30" s="7">
        <v>3</v>
      </c>
      <c r="CI30" s="7">
        <v>3</v>
      </c>
      <c r="CJ30" s="7">
        <v>3</v>
      </c>
      <c r="CK30" s="7">
        <v>3</v>
      </c>
      <c r="CL30" s="7">
        <v>3</v>
      </c>
      <c r="CM30" s="7">
        <v>3</v>
      </c>
      <c r="CN30" s="7">
        <v>3</v>
      </c>
      <c r="CO30" s="7">
        <v>3</v>
      </c>
      <c r="CP30" s="7">
        <v>3</v>
      </c>
      <c r="CQ30" s="7">
        <v>3</v>
      </c>
      <c r="CR30" s="7">
        <v>3</v>
      </c>
      <c r="CS30" s="7">
        <v>3</v>
      </c>
      <c r="CT30" s="7">
        <v>3</v>
      </c>
      <c r="CU30" s="7">
        <v>3</v>
      </c>
      <c r="CV30" s="7">
        <v>3</v>
      </c>
      <c r="CW30" s="7">
        <v>3</v>
      </c>
      <c r="CX30" s="7">
        <v>3</v>
      </c>
      <c r="CY30" s="7">
        <v>3</v>
      </c>
      <c r="CZ30" s="7">
        <v>3</v>
      </c>
      <c r="DA30" s="7">
        <v>3</v>
      </c>
      <c r="DB30" s="7">
        <v>3</v>
      </c>
      <c r="DC30" s="7">
        <v>3</v>
      </c>
      <c r="DD30" s="7">
        <v>3</v>
      </c>
      <c r="DE30" s="7">
        <v>3</v>
      </c>
      <c r="DF30" s="7">
        <v>3</v>
      </c>
      <c r="DG30" s="7">
        <v>3</v>
      </c>
      <c r="DH30" s="7">
        <v>3</v>
      </c>
      <c r="DI30" s="7">
        <v>3</v>
      </c>
      <c r="DJ30" s="7">
        <v>3</v>
      </c>
      <c r="DK30" s="7">
        <v>3</v>
      </c>
      <c r="DL30" s="7">
        <v>3</v>
      </c>
      <c r="DM30" s="7">
        <v>3</v>
      </c>
      <c r="DN30" s="7">
        <v>3</v>
      </c>
      <c r="DO30" s="7">
        <v>3</v>
      </c>
      <c r="DP30" s="7">
        <v>3</v>
      </c>
      <c r="DQ30" s="7">
        <v>3</v>
      </c>
      <c r="DR30" s="7">
        <v>3</v>
      </c>
      <c r="DS30" s="7">
        <v>3</v>
      </c>
      <c r="DT30" s="7">
        <v>3</v>
      </c>
      <c r="DU30" s="7">
        <v>3</v>
      </c>
      <c r="DV30" s="7">
        <v>3</v>
      </c>
      <c r="DW30" s="7">
        <v>3</v>
      </c>
      <c r="DX30" s="7">
        <v>3</v>
      </c>
      <c r="DY30" s="7">
        <v>3</v>
      </c>
      <c r="DZ30" s="7">
        <v>3</v>
      </c>
      <c r="EA30" s="7">
        <v>3</v>
      </c>
      <c r="EB30" s="7">
        <v>3</v>
      </c>
      <c r="EC30" s="7">
        <v>3</v>
      </c>
      <c r="ED30" s="7">
        <v>3</v>
      </c>
      <c r="EE30" s="7">
        <v>3</v>
      </c>
      <c r="EF30" s="7">
        <v>3</v>
      </c>
      <c r="EG30" s="7">
        <v>3</v>
      </c>
      <c r="EH30" s="7">
        <v>3</v>
      </c>
      <c r="EI30" s="7">
        <v>3</v>
      </c>
    </row>
    <row r="31" spans="1:139" x14ac:dyDescent="0.3">
      <c r="A31" s="5" t="s">
        <v>20</v>
      </c>
      <c r="B31" s="6">
        <v>39</v>
      </c>
      <c r="C31" s="6">
        <v>39</v>
      </c>
      <c r="D31" s="6">
        <v>41</v>
      </c>
      <c r="E31" s="6">
        <v>39</v>
      </c>
      <c r="F31" s="6">
        <v>39</v>
      </c>
      <c r="G31" s="6">
        <v>39</v>
      </c>
      <c r="H31" s="6">
        <v>39</v>
      </c>
      <c r="I31" s="6">
        <v>40</v>
      </c>
      <c r="J31" s="6">
        <v>44</v>
      </c>
      <c r="K31" s="6">
        <v>39</v>
      </c>
      <c r="L31" s="6">
        <v>40</v>
      </c>
      <c r="M31" s="6">
        <v>40</v>
      </c>
      <c r="N31" s="6">
        <v>58</v>
      </c>
      <c r="O31" s="6">
        <v>45</v>
      </c>
      <c r="P31" s="6">
        <v>49</v>
      </c>
      <c r="Q31" s="6">
        <v>43</v>
      </c>
      <c r="R31" s="6">
        <v>48</v>
      </c>
      <c r="S31" s="6">
        <v>54</v>
      </c>
      <c r="T31" s="6">
        <v>55</v>
      </c>
      <c r="U31" s="6">
        <v>47</v>
      </c>
      <c r="V31" s="6">
        <v>43</v>
      </c>
      <c r="W31" s="6">
        <v>43</v>
      </c>
      <c r="X31" s="6">
        <v>45</v>
      </c>
      <c r="Y31" s="6">
        <v>47</v>
      </c>
      <c r="Z31" s="6">
        <v>47</v>
      </c>
      <c r="AA31" s="6">
        <v>44</v>
      </c>
      <c r="AB31" s="6">
        <v>44</v>
      </c>
      <c r="AC31" s="6">
        <v>45</v>
      </c>
      <c r="AD31" s="6">
        <v>46</v>
      </c>
      <c r="AE31" s="6">
        <v>46</v>
      </c>
      <c r="AF31" s="6">
        <v>46</v>
      </c>
      <c r="AG31" s="6">
        <v>50</v>
      </c>
      <c r="AH31" s="6">
        <v>49</v>
      </c>
      <c r="AI31" s="6">
        <v>47</v>
      </c>
      <c r="AJ31" s="6">
        <v>45</v>
      </c>
      <c r="AK31" s="6">
        <v>46</v>
      </c>
      <c r="AL31" s="6">
        <v>52</v>
      </c>
      <c r="AM31" s="6">
        <v>50</v>
      </c>
      <c r="AN31" s="6">
        <v>49</v>
      </c>
      <c r="AO31" s="6">
        <v>54</v>
      </c>
      <c r="AP31" s="6">
        <v>60</v>
      </c>
      <c r="AQ31" s="6">
        <v>52</v>
      </c>
      <c r="AR31" s="6">
        <v>54</v>
      </c>
      <c r="AS31" s="6">
        <v>50</v>
      </c>
      <c r="AT31" s="6">
        <v>51</v>
      </c>
      <c r="AU31" s="6">
        <v>46</v>
      </c>
      <c r="AV31" s="6">
        <v>48</v>
      </c>
      <c r="AW31" s="6">
        <v>48</v>
      </c>
      <c r="AX31" s="6">
        <v>50</v>
      </c>
      <c r="AY31" s="6">
        <v>52</v>
      </c>
      <c r="AZ31" s="6">
        <v>50</v>
      </c>
      <c r="BA31" s="6">
        <v>50</v>
      </c>
      <c r="BB31" s="6">
        <v>50</v>
      </c>
      <c r="BC31" s="6">
        <v>52</v>
      </c>
      <c r="BD31" s="6">
        <v>52</v>
      </c>
      <c r="BE31" s="6">
        <v>58</v>
      </c>
      <c r="BF31" s="6">
        <v>51</v>
      </c>
      <c r="BG31" s="6">
        <v>49</v>
      </c>
      <c r="BH31" s="6">
        <v>49</v>
      </c>
      <c r="BI31" s="6">
        <v>49</v>
      </c>
      <c r="BJ31" s="6">
        <v>49</v>
      </c>
      <c r="BK31" s="6">
        <v>49</v>
      </c>
      <c r="BL31" s="6">
        <v>51</v>
      </c>
      <c r="BM31" s="6">
        <v>50</v>
      </c>
      <c r="BN31" s="6">
        <v>50</v>
      </c>
      <c r="BO31" s="6">
        <v>51</v>
      </c>
      <c r="BP31" s="6">
        <v>56</v>
      </c>
      <c r="BQ31" s="6">
        <v>58</v>
      </c>
      <c r="BR31" s="6">
        <v>50</v>
      </c>
      <c r="BS31" s="6">
        <v>52</v>
      </c>
      <c r="BT31" s="6">
        <v>50</v>
      </c>
      <c r="BU31" s="6">
        <v>50</v>
      </c>
      <c r="BV31" s="6">
        <v>49</v>
      </c>
      <c r="BW31" s="6">
        <v>51</v>
      </c>
      <c r="BX31" s="6">
        <v>45</v>
      </c>
      <c r="BY31" s="6">
        <v>44</v>
      </c>
      <c r="BZ31" s="6">
        <v>46</v>
      </c>
      <c r="CA31" s="6">
        <v>46</v>
      </c>
      <c r="CB31" s="7">
        <v>40.947987616099084</v>
      </c>
      <c r="CC31" s="7">
        <v>40.946749226006197</v>
      </c>
      <c r="CD31" s="7">
        <v>40.946749226006183</v>
      </c>
      <c r="CE31" s="7">
        <v>40.921981424148598</v>
      </c>
      <c r="CF31" s="7">
        <v>40.921981424148598</v>
      </c>
      <c r="CG31" s="7">
        <v>42.03839009287924</v>
      </c>
      <c r="CH31" s="7">
        <v>42.03839009287924</v>
      </c>
      <c r="CI31" s="7">
        <v>40.870657034743701</v>
      </c>
      <c r="CJ31" s="7">
        <v>40.801966854853383</v>
      </c>
      <c r="CK31" s="7">
        <v>39.882575216321356</v>
      </c>
      <c r="CL31" s="7">
        <v>40.127554179566573</v>
      </c>
      <c r="CM31" s="7">
        <v>41.013063505248049</v>
      </c>
      <c r="CN31" s="7">
        <v>40.89257802694334</v>
      </c>
      <c r="CO31" s="7">
        <v>40.748888263439319</v>
      </c>
      <c r="CP31" s="7">
        <v>40.77672555090146</v>
      </c>
      <c r="CQ31" s="7">
        <v>40.767109816062629</v>
      </c>
      <c r="CR31" s="7">
        <v>40.858840264413011</v>
      </c>
      <c r="CS31" s="7">
        <v>41.943603045770246</v>
      </c>
      <c r="CT31" s="7">
        <v>40.563572714947675</v>
      </c>
      <c r="CU31" s="7">
        <v>39.286928104575175</v>
      </c>
      <c r="CV31" s="7">
        <v>40.617325667108965</v>
      </c>
      <c r="CW31" s="7">
        <v>39.479985093452598</v>
      </c>
      <c r="CX31" s="7">
        <v>39.470903566104795</v>
      </c>
      <c r="CY31" s="7">
        <v>39.46863318426788</v>
      </c>
      <c r="CZ31" s="7">
        <v>39.648353339489056</v>
      </c>
      <c r="DA31" s="7">
        <v>39.810256277949776</v>
      </c>
      <c r="DB31" s="7">
        <v>37.213585102129997</v>
      </c>
      <c r="DC31" s="7">
        <v>39.331017740429516</v>
      </c>
      <c r="DD31" s="7">
        <v>39.424360738447447</v>
      </c>
      <c r="DE31" s="7">
        <v>40.810859993120033</v>
      </c>
      <c r="DF31" s="7">
        <v>40.801695906432748</v>
      </c>
      <c r="DG31" s="7">
        <v>40.708867190600948</v>
      </c>
      <c r="DH31" s="7">
        <v>40.86516818109358</v>
      </c>
      <c r="DI31" s="7">
        <v>41.075904556399948</v>
      </c>
      <c r="DJ31" s="7">
        <v>40.847951538338926</v>
      </c>
      <c r="DK31" s="7">
        <v>40.924733402132809</v>
      </c>
      <c r="DL31" s="7">
        <v>40.763894048847611</v>
      </c>
      <c r="DM31" s="7">
        <v>40.842212657420667</v>
      </c>
      <c r="DN31" s="7">
        <v>40.585374685423545</v>
      </c>
      <c r="DO31" s="7">
        <v>40.672287052472804</v>
      </c>
      <c r="DP31" s="7">
        <v>40.67000079383979</v>
      </c>
      <c r="DQ31" s="7">
        <v>41.952199125264158</v>
      </c>
      <c r="DR31" s="7">
        <v>42.026095791233651</v>
      </c>
      <c r="DS31" s="7">
        <v>41.871194006057706</v>
      </c>
      <c r="DT31" s="7">
        <v>41.870046229874092</v>
      </c>
      <c r="DU31" s="7">
        <v>41.868898453690441</v>
      </c>
      <c r="DV31" s="7">
        <v>42.021487828097378</v>
      </c>
      <c r="DW31" s="7">
        <v>42.021487828097385</v>
      </c>
      <c r="DX31" s="7">
        <v>42.158091961930985</v>
      </c>
      <c r="DY31" s="7">
        <v>41.939549855029753</v>
      </c>
      <c r="DZ31" s="7">
        <v>41.936100054056716</v>
      </c>
      <c r="EA31" s="7">
        <v>42.007663938688495</v>
      </c>
      <c r="EB31" s="7">
        <v>40.956349149206815</v>
      </c>
      <c r="EC31" s="7">
        <v>41.976768185854532</v>
      </c>
      <c r="ED31" s="7">
        <v>41.973398612811103</v>
      </c>
      <c r="EE31" s="7">
        <v>41.133019913618483</v>
      </c>
      <c r="EF31" s="7">
        <v>41.012871751571474</v>
      </c>
      <c r="EG31" s="7">
        <v>41.010676423679534</v>
      </c>
      <c r="EH31" s="7">
        <v>40.096108244467381</v>
      </c>
      <c r="EI31" s="7">
        <v>40.819644266375285</v>
      </c>
    </row>
    <row r="32" spans="1:139" x14ac:dyDescent="0.3">
      <c r="A32" s="5" t="s">
        <v>21</v>
      </c>
      <c r="B32" s="6">
        <v>79</v>
      </c>
      <c r="C32" s="6">
        <v>85</v>
      </c>
      <c r="D32" s="6">
        <v>85</v>
      </c>
      <c r="E32" s="6">
        <v>93</v>
      </c>
      <c r="F32" s="6">
        <v>84</v>
      </c>
      <c r="G32" s="6">
        <v>93</v>
      </c>
      <c r="H32" s="6">
        <v>96</v>
      </c>
      <c r="I32" s="6">
        <v>97</v>
      </c>
      <c r="J32" s="6">
        <v>95</v>
      </c>
      <c r="K32" s="6">
        <v>106</v>
      </c>
      <c r="L32" s="6">
        <v>105</v>
      </c>
      <c r="M32" s="6">
        <v>101</v>
      </c>
      <c r="N32" s="6">
        <v>135</v>
      </c>
      <c r="O32" s="6">
        <v>107</v>
      </c>
      <c r="P32" s="6">
        <v>112</v>
      </c>
      <c r="Q32" s="6">
        <v>98</v>
      </c>
      <c r="R32" s="6">
        <v>108</v>
      </c>
      <c r="S32" s="6">
        <v>96</v>
      </c>
      <c r="T32" s="6">
        <v>95</v>
      </c>
      <c r="U32" s="6">
        <v>101</v>
      </c>
      <c r="V32" s="6">
        <v>96</v>
      </c>
      <c r="W32" s="6">
        <v>95</v>
      </c>
      <c r="X32" s="6">
        <v>99</v>
      </c>
      <c r="Y32" s="6">
        <v>100</v>
      </c>
      <c r="Z32" s="6">
        <v>99</v>
      </c>
      <c r="AA32" s="6">
        <v>102</v>
      </c>
      <c r="AB32" s="6">
        <v>101</v>
      </c>
      <c r="AC32" s="6">
        <v>100</v>
      </c>
      <c r="AD32" s="6">
        <v>103</v>
      </c>
      <c r="AE32" s="6">
        <v>101</v>
      </c>
      <c r="AF32" s="6">
        <v>99</v>
      </c>
      <c r="AG32" s="6">
        <v>99</v>
      </c>
      <c r="AH32" s="6">
        <v>97</v>
      </c>
      <c r="AI32" s="6">
        <v>106</v>
      </c>
      <c r="AJ32" s="6">
        <v>101</v>
      </c>
      <c r="AK32" s="6">
        <v>105</v>
      </c>
      <c r="AL32" s="6">
        <v>103</v>
      </c>
      <c r="AM32" s="6">
        <v>101</v>
      </c>
      <c r="AN32" s="6">
        <v>101</v>
      </c>
      <c r="AO32" s="6">
        <v>119</v>
      </c>
      <c r="AP32" s="6">
        <v>103</v>
      </c>
      <c r="AQ32" s="6">
        <v>104</v>
      </c>
      <c r="AR32" s="6">
        <v>107</v>
      </c>
      <c r="AS32" s="6">
        <v>105</v>
      </c>
      <c r="AT32" s="6">
        <v>106</v>
      </c>
      <c r="AU32" s="6">
        <v>108</v>
      </c>
      <c r="AV32" s="6">
        <v>107</v>
      </c>
      <c r="AW32" s="6">
        <v>108</v>
      </c>
      <c r="AX32" s="6">
        <v>111</v>
      </c>
      <c r="AY32" s="6">
        <v>114</v>
      </c>
      <c r="AZ32" s="6">
        <v>113</v>
      </c>
      <c r="BA32" s="6">
        <v>108</v>
      </c>
      <c r="BB32" s="6">
        <v>106</v>
      </c>
      <c r="BC32" s="6">
        <v>106</v>
      </c>
      <c r="BD32" s="6">
        <v>108</v>
      </c>
      <c r="BE32" s="6">
        <v>117</v>
      </c>
      <c r="BF32" s="6">
        <v>109</v>
      </c>
      <c r="BG32" s="6">
        <v>111</v>
      </c>
      <c r="BH32" s="6">
        <v>106</v>
      </c>
      <c r="BI32" s="6">
        <v>106</v>
      </c>
      <c r="BJ32" s="6">
        <v>106</v>
      </c>
      <c r="BK32" s="6">
        <v>107</v>
      </c>
      <c r="BL32" s="6">
        <v>106</v>
      </c>
      <c r="BM32" s="6">
        <v>106</v>
      </c>
      <c r="BN32" s="6">
        <v>103</v>
      </c>
      <c r="BO32" s="6">
        <v>100</v>
      </c>
      <c r="BP32" s="6">
        <v>103</v>
      </c>
      <c r="BQ32" s="6">
        <v>111</v>
      </c>
      <c r="BR32" s="6">
        <v>112</v>
      </c>
      <c r="BS32" s="6">
        <v>97</v>
      </c>
      <c r="BT32" s="6">
        <v>102</v>
      </c>
      <c r="BU32" s="6">
        <v>98</v>
      </c>
      <c r="BV32" s="6">
        <v>96</v>
      </c>
      <c r="BW32" s="6">
        <v>97</v>
      </c>
      <c r="BX32" s="6">
        <v>101</v>
      </c>
      <c r="BY32" s="6">
        <v>99</v>
      </c>
      <c r="BZ32" s="6">
        <v>101</v>
      </c>
      <c r="CA32" s="6">
        <v>102</v>
      </c>
      <c r="CB32" s="7">
        <v>86.458315301934235</v>
      </c>
      <c r="CC32" s="7">
        <v>86.409302651536336</v>
      </c>
      <c r="CD32" s="7">
        <v>86.685060940726942</v>
      </c>
      <c r="CE32" s="7">
        <v>86.74703272439541</v>
      </c>
      <c r="CF32" s="7">
        <v>86.692525331139578</v>
      </c>
      <c r="CG32" s="7">
        <v>87.355744998820299</v>
      </c>
      <c r="CH32" s="7">
        <v>86.223857961115584</v>
      </c>
      <c r="CI32" s="7">
        <v>86.453370762941972</v>
      </c>
      <c r="CJ32" s="7">
        <v>86.08139980037943</v>
      </c>
      <c r="CK32" s="7">
        <v>80.960256380693465</v>
      </c>
      <c r="CL32" s="7">
        <v>85.115987742739676</v>
      </c>
      <c r="CM32" s="7">
        <v>84.193159401661049</v>
      </c>
      <c r="CN32" s="7">
        <v>78.269090169197668</v>
      </c>
      <c r="CO32" s="7">
        <v>79.968419074531468</v>
      </c>
      <c r="CP32" s="7">
        <v>79.8711156086123</v>
      </c>
      <c r="CQ32" s="7">
        <v>80.056431664158495</v>
      </c>
      <c r="CR32" s="7">
        <v>80.260143461329477</v>
      </c>
      <c r="CS32" s="7">
        <v>79.474455530270646</v>
      </c>
      <c r="CT32" s="7">
        <v>79.905193431886147</v>
      </c>
      <c r="CU32" s="7">
        <v>78.890047856742584</v>
      </c>
      <c r="CV32" s="7">
        <v>77.870706339948356</v>
      </c>
      <c r="CW32" s="7">
        <v>77.317263672697706</v>
      </c>
      <c r="CX32" s="7">
        <v>77.158730128886333</v>
      </c>
      <c r="CY32" s="7">
        <v>77.336834726466577</v>
      </c>
      <c r="CZ32" s="7">
        <v>75.129794774768726</v>
      </c>
      <c r="DA32" s="7">
        <v>75.015013143862859</v>
      </c>
      <c r="DB32" s="7">
        <v>73.950857608237257</v>
      </c>
      <c r="DC32" s="7">
        <v>73.848211897858349</v>
      </c>
      <c r="DD32" s="7">
        <v>70.115476423287305</v>
      </c>
      <c r="DE32" s="7">
        <v>73.432128181392812</v>
      </c>
      <c r="DF32" s="7">
        <v>73.334584326358737</v>
      </c>
      <c r="DG32" s="7">
        <v>73.363147306843629</v>
      </c>
      <c r="DH32" s="7">
        <v>61.930881548293371</v>
      </c>
      <c r="DI32" s="7">
        <v>72.992213630052987</v>
      </c>
      <c r="DJ32" s="7">
        <v>72.321120512640803</v>
      </c>
      <c r="DK32" s="7">
        <v>71.055507238321653</v>
      </c>
      <c r="DL32" s="7">
        <v>70.423898139212994</v>
      </c>
      <c r="DM32" s="7">
        <v>69.719659157820843</v>
      </c>
      <c r="DN32" s="7">
        <v>70.060808202811344</v>
      </c>
      <c r="DO32" s="7">
        <v>69.108021308448428</v>
      </c>
      <c r="DP32" s="7">
        <v>68.471381139687935</v>
      </c>
      <c r="DQ32" s="7">
        <v>70.568475697147505</v>
      </c>
      <c r="DR32" s="7">
        <v>71.116103655580048</v>
      </c>
      <c r="DS32" s="7">
        <v>70.88831220878329</v>
      </c>
      <c r="DT32" s="7">
        <v>68.716388270536655</v>
      </c>
      <c r="DU32" s="7">
        <v>70.17462704065511</v>
      </c>
      <c r="DV32" s="7">
        <v>70.240031396321626</v>
      </c>
      <c r="DW32" s="7">
        <v>69.855251462175403</v>
      </c>
      <c r="DX32" s="7">
        <v>68.819413028999392</v>
      </c>
      <c r="DY32" s="7">
        <v>67.865480571171716</v>
      </c>
      <c r="DZ32" s="7">
        <v>68.486960223160636</v>
      </c>
      <c r="EA32" s="7">
        <v>66.306928271361443</v>
      </c>
      <c r="EB32" s="7">
        <v>67.687575556834403</v>
      </c>
      <c r="EC32" s="7">
        <v>67.861165387727652</v>
      </c>
      <c r="ED32" s="7">
        <v>68.462348496060926</v>
      </c>
      <c r="EE32" s="7">
        <v>68.045196712208366</v>
      </c>
      <c r="EF32" s="7">
        <v>68.39050807392195</v>
      </c>
      <c r="EG32" s="7">
        <v>68.00549519803964</v>
      </c>
      <c r="EH32" s="7">
        <v>67.912061212531</v>
      </c>
      <c r="EI32" s="7">
        <v>68.077060433150109</v>
      </c>
    </row>
    <row r="33" spans="1:139" x14ac:dyDescent="0.3">
      <c r="A33" s="5" t="s">
        <v>22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2</v>
      </c>
      <c r="BT33" s="6">
        <v>1</v>
      </c>
      <c r="BU33" s="6">
        <v>1</v>
      </c>
      <c r="BV33" s="6">
        <v>1</v>
      </c>
      <c r="BW33" s="6">
        <v>1</v>
      </c>
      <c r="BX33" s="6">
        <v>1</v>
      </c>
      <c r="BY33" s="6">
        <v>1</v>
      </c>
      <c r="BZ33" s="6">
        <v>3</v>
      </c>
      <c r="CA33" s="6">
        <v>1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</row>
    <row r="34" spans="1:139" x14ac:dyDescent="0.3">
      <c r="A34" s="5" t="s">
        <v>23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</row>
    <row r="35" spans="1:139" x14ac:dyDescent="0.3">
      <c r="A35" s="5" t="s">
        <v>24</v>
      </c>
      <c r="B35" s="6">
        <v>25</v>
      </c>
      <c r="C35" s="6">
        <v>34</v>
      </c>
      <c r="D35" s="6">
        <v>27</v>
      </c>
      <c r="E35" s="6">
        <v>27</v>
      </c>
      <c r="F35" s="6">
        <v>24</v>
      </c>
      <c r="G35" s="6">
        <v>26</v>
      </c>
      <c r="H35" s="6">
        <v>24</v>
      </c>
      <c r="I35" s="6">
        <v>24</v>
      </c>
      <c r="J35" s="6">
        <v>24</v>
      </c>
      <c r="K35" s="6">
        <v>23</v>
      </c>
      <c r="L35" s="6">
        <v>25</v>
      </c>
      <c r="M35" s="6">
        <v>25</v>
      </c>
      <c r="N35" s="6">
        <v>18</v>
      </c>
      <c r="O35" s="6">
        <v>22</v>
      </c>
      <c r="P35" s="6">
        <v>18</v>
      </c>
      <c r="Q35" s="6">
        <v>20</v>
      </c>
      <c r="R35" s="6">
        <v>18</v>
      </c>
      <c r="S35" s="6">
        <v>18</v>
      </c>
      <c r="T35" s="6">
        <v>20</v>
      </c>
      <c r="U35" s="6">
        <v>22</v>
      </c>
      <c r="V35" s="6">
        <v>18</v>
      </c>
      <c r="W35" s="6">
        <v>19</v>
      </c>
      <c r="X35" s="6">
        <v>18</v>
      </c>
      <c r="Y35" s="6">
        <v>18</v>
      </c>
      <c r="Z35" s="6">
        <v>16</v>
      </c>
      <c r="AA35" s="6">
        <v>16</v>
      </c>
      <c r="AB35" s="6">
        <v>15</v>
      </c>
      <c r="AC35" s="6">
        <v>14</v>
      </c>
      <c r="AD35" s="6">
        <v>14</v>
      </c>
      <c r="AE35" s="6">
        <v>14</v>
      </c>
      <c r="AF35" s="6">
        <v>14</v>
      </c>
      <c r="AG35" s="6">
        <v>16</v>
      </c>
      <c r="AH35" s="6">
        <v>14</v>
      </c>
      <c r="AI35" s="6">
        <v>14</v>
      </c>
      <c r="AJ35" s="6">
        <v>14</v>
      </c>
      <c r="AK35" s="6">
        <v>14</v>
      </c>
      <c r="AL35" s="6">
        <v>12</v>
      </c>
      <c r="AM35" s="6">
        <v>12</v>
      </c>
      <c r="AN35" s="6">
        <v>11</v>
      </c>
      <c r="AO35" s="6">
        <v>11</v>
      </c>
      <c r="AP35" s="6">
        <v>13</v>
      </c>
      <c r="AQ35" s="6">
        <v>12</v>
      </c>
      <c r="AR35" s="6">
        <v>11</v>
      </c>
      <c r="AS35" s="6">
        <v>12</v>
      </c>
      <c r="AT35" s="6">
        <v>12</v>
      </c>
      <c r="AU35" s="6">
        <v>12</v>
      </c>
      <c r="AV35" s="6">
        <v>16</v>
      </c>
      <c r="AW35" s="6">
        <v>12</v>
      </c>
      <c r="AX35" s="6">
        <v>12</v>
      </c>
      <c r="AY35" s="6">
        <v>12</v>
      </c>
      <c r="AZ35" s="6">
        <v>12</v>
      </c>
      <c r="BA35" s="6">
        <v>12</v>
      </c>
      <c r="BB35" s="6">
        <v>11</v>
      </c>
      <c r="BC35" s="6">
        <v>13</v>
      </c>
      <c r="BD35" s="6">
        <v>13</v>
      </c>
      <c r="BE35" s="6">
        <v>28</v>
      </c>
      <c r="BF35" s="6">
        <v>14</v>
      </c>
      <c r="BG35" s="6">
        <v>14</v>
      </c>
      <c r="BH35" s="6">
        <v>14</v>
      </c>
      <c r="BI35" s="6">
        <v>12</v>
      </c>
      <c r="BJ35" s="6">
        <v>12</v>
      </c>
      <c r="BK35" s="6">
        <v>12</v>
      </c>
      <c r="BL35" s="6">
        <v>14</v>
      </c>
      <c r="BM35" s="6">
        <v>14</v>
      </c>
      <c r="BN35" s="6">
        <v>12</v>
      </c>
      <c r="BO35" s="6">
        <v>12</v>
      </c>
      <c r="BP35" s="6">
        <v>12</v>
      </c>
      <c r="BQ35" s="6">
        <v>11</v>
      </c>
      <c r="BR35" s="6">
        <v>10</v>
      </c>
      <c r="BS35" s="6">
        <v>10</v>
      </c>
      <c r="BT35" s="6">
        <v>10</v>
      </c>
      <c r="BU35" s="6">
        <v>10</v>
      </c>
      <c r="BV35" s="6">
        <v>10</v>
      </c>
      <c r="BW35" s="6">
        <v>11</v>
      </c>
      <c r="BX35" s="6">
        <v>10</v>
      </c>
      <c r="BY35" s="6">
        <v>10</v>
      </c>
      <c r="BZ35" s="6">
        <v>10</v>
      </c>
      <c r="CA35" s="6">
        <v>10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</row>
    <row r="36" spans="1:139" x14ac:dyDescent="0.3">
      <c r="A36" s="5" t="s">
        <v>25</v>
      </c>
      <c r="B36" s="6">
        <v>2</v>
      </c>
      <c r="C36" s="6">
        <v>10</v>
      </c>
      <c r="D36" s="6">
        <v>10</v>
      </c>
      <c r="E36" s="6">
        <v>8</v>
      </c>
      <c r="F36" s="6">
        <v>4</v>
      </c>
      <c r="G36" s="6">
        <v>8</v>
      </c>
      <c r="H36" s="6">
        <v>3</v>
      </c>
      <c r="I36" s="6">
        <v>7</v>
      </c>
      <c r="J36" s="6">
        <v>3</v>
      </c>
      <c r="K36" s="6">
        <v>5</v>
      </c>
      <c r="L36" s="6">
        <v>3</v>
      </c>
      <c r="M36" s="6">
        <v>3</v>
      </c>
      <c r="N36" s="6">
        <v>2</v>
      </c>
      <c r="O36" s="6">
        <v>2</v>
      </c>
      <c r="P36" s="6">
        <v>2</v>
      </c>
      <c r="Q36" s="6">
        <v>2</v>
      </c>
      <c r="R36" s="6">
        <v>2</v>
      </c>
      <c r="S36" s="6">
        <v>2</v>
      </c>
      <c r="T36" s="6">
        <v>2</v>
      </c>
      <c r="U36" s="6">
        <v>2</v>
      </c>
      <c r="V36" s="6">
        <v>2</v>
      </c>
      <c r="W36" s="6">
        <v>0</v>
      </c>
      <c r="X36" s="6">
        <v>6</v>
      </c>
      <c r="Y36" s="6">
        <v>6</v>
      </c>
      <c r="Z36" s="6">
        <v>2</v>
      </c>
      <c r="AA36" s="6">
        <v>2</v>
      </c>
      <c r="AB36" s="6">
        <v>2</v>
      </c>
      <c r="AC36" s="6">
        <v>2</v>
      </c>
      <c r="AD36" s="6">
        <v>2</v>
      </c>
      <c r="AE36" s="6">
        <v>32</v>
      </c>
      <c r="AF36" s="6">
        <v>2</v>
      </c>
      <c r="AG36" s="6">
        <v>2</v>
      </c>
      <c r="AH36" s="6">
        <v>2</v>
      </c>
      <c r="AI36" s="6">
        <v>4</v>
      </c>
      <c r="AJ36" s="6">
        <v>2</v>
      </c>
      <c r="AK36" s="6">
        <v>2</v>
      </c>
      <c r="AL36" s="6">
        <v>2</v>
      </c>
      <c r="AM36" s="6">
        <v>10</v>
      </c>
      <c r="AN36" s="6">
        <v>2</v>
      </c>
      <c r="AO36" s="6">
        <v>2</v>
      </c>
      <c r="AP36" s="6">
        <v>2</v>
      </c>
      <c r="AQ36" s="6">
        <v>6</v>
      </c>
      <c r="AR36" s="6">
        <v>8</v>
      </c>
      <c r="AS36" s="6">
        <v>2</v>
      </c>
      <c r="AT36" s="6">
        <v>2</v>
      </c>
      <c r="AU36" s="6">
        <v>2</v>
      </c>
      <c r="AV36" s="6">
        <v>2</v>
      </c>
      <c r="AW36" s="6">
        <v>20</v>
      </c>
      <c r="AX36" s="6">
        <v>22</v>
      </c>
      <c r="AY36" s="6">
        <v>4</v>
      </c>
      <c r="AZ36" s="6">
        <v>2</v>
      </c>
      <c r="BA36" s="6">
        <v>4</v>
      </c>
      <c r="BB36" s="6">
        <v>6</v>
      </c>
      <c r="BC36" s="6">
        <v>4</v>
      </c>
      <c r="BD36" s="6">
        <v>4</v>
      </c>
      <c r="BE36" s="6">
        <v>2</v>
      </c>
      <c r="BF36" s="6">
        <v>2</v>
      </c>
      <c r="BG36" s="6">
        <v>4</v>
      </c>
      <c r="BH36" s="6">
        <v>2</v>
      </c>
      <c r="BI36" s="6">
        <v>2</v>
      </c>
      <c r="BJ36" s="6">
        <v>2</v>
      </c>
      <c r="BK36" s="6">
        <v>16</v>
      </c>
      <c r="BL36" s="6">
        <v>2</v>
      </c>
      <c r="BM36" s="6">
        <v>2</v>
      </c>
      <c r="BN36" s="6">
        <v>2</v>
      </c>
      <c r="BO36" s="6">
        <v>2</v>
      </c>
      <c r="BP36" s="6">
        <v>2</v>
      </c>
      <c r="BQ36" s="6">
        <v>2</v>
      </c>
      <c r="BR36" s="6">
        <v>2</v>
      </c>
      <c r="BS36" s="6">
        <v>2</v>
      </c>
      <c r="BT36" s="6">
        <v>6</v>
      </c>
      <c r="BU36" s="6">
        <v>2</v>
      </c>
      <c r="BV36" s="6">
        <v>2</v>
      </c>
      <c r="BW36" s="6">
        <v>2</v>
      </c>
      <c r="BX36" s="6">
        <v>2</v>
      </c>
      <c r="BY36" s="6">
        <v>2</v>
      </c>
      <c r="BZ36" s="6">
        <v>2</v>
      </c>
      <c r="CA36" s="6">
        <v>2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</row>
    <row r="37" spans="1:139" x14ac:dyDescent="0.3">
      <c r="A37" s="5" t="s">
        <v>26</v>
      </c>
      <c r="B37" s="6">
        <v>3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2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0</v>
      </c>
      <c r="X37" s="6">
        <v>2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  <c r="AW37" s="6">
        <v>1</v>
      </c>
      <c r="AX37" s="6">
        <v>1</v>
      </c>
      <c r="AY37" s="6">
        <v>2</v>
      </c>
      <c r="AZ37" s="6">
        <v>2</v>
      </c>
      <c r="BA37" s="6">
        <v>2</v>
      </c>
      <c r="BB37" s="6">
        <v>2</v>
      </c>
      <c r="BC37" s="6">
        <v>2</v>
      </c>
      <c r="BD37" s="6">
        <v>2</v>
      </c>
      <c r="BE37" s="6">
        <v>1</v>
      </c>
      <c r="BF37" s="6">
        <v>3</v>
      </c>
      <c r="BG37" s="6">
        <v>1</v>
      </c>
      <c r="BH37" s="6">
        <v>1</v>
      </c>
      <c r="BI37" s="6">
        <v>1</v>
      </c>
      <c r="BJ37" s="6">
        <v>1</v>
      </c>
      <c r="BK37" s="6">
        <v>1</v>
      </c>
      <c r="BL37" s="6">
        <v>1</v>
      </c>
      <c r="BM37" s="6">
        <v>1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5</v>
      </c>
      <c r="CA37" s="6">
        <v>1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</row>
    <row r="38" spans="1:139" x14ac:dyDescent="0.3">
      <c r="A38" s="5" t="s">
        <v>27</v>
      </c>
      <c r="B38" s="8">
        <v>1242649</v>
      </c>
      <c r="C38" s="8">
        <v>1255993</v>
      </c>
      <c r="D38" s="8">
        <v>1259975</v>
      </c>
      <c r="E38" s="8">
        <v>1258862</v>
      </c>
      <c r="F38" s="8">
        <v>1272480</v>
      </c>
      <c r="G38" s="8">
        <v>1275657</v>
      </c>
      <c r="H38" s="8">
        <v>1255314</v>
      </c>
      <c r="I38" s="8">
        <v>1227599</v>
      </c>
      <c r="J38" s="8">
        <v>1296807</v>
      </c>
      <c r="K38" s="8">
        <v>1301874</v>
      </c>
      <c r="L38" s="8">
        <v>1311572</v>
      </c>
      <c r="M38" s="8">
        <v>1309007</v>
      </c>
      <c r="N38" s="8">
        <v>1296630</v>
      </c>
      <c r="O38" s="8">
        <v>1317866</v>
      </c>
      <c r="P38" s="8">
        <v>1314957</v>
      </c>
      <c r="Q38" s="8">
        <v>1321140</v>
      </c>
      <c r="R38" s="8">
        <v>1330383</v>
      </c>
      <c r="S38" s="8">
        <v>1332838</v>
      </c>
      <c r="T38" s="8">
        <v>1340029</v>
      </c>
      <c r="U38" s="8">
        <v>1358160</v>
      </c>
      <c r="V38" s="8">
        <v>1353189</v>
      </c>
      <c r="W38" s="8">
        <v>1354421</v>
      </c>
      <c r="X38" s="8">
        <v>1359565</v>
      </c>
      <c r="Y38" s="8">
        <v>1364344</v>
      </c>
      <c r="Z38" s="8">
        <v>1371758</v>
      </c>
      <c r="AA38" s="8">
        <v>1376915</v>
      </c>
      <c r="AB38" s="8">
        <v>1376588</v>
      </c>
      <c r="AC38" s="8">
        <v>1385748</v>
      </c>
      <c r="AD38" s="8">
        <v>1387663</v>
      </c>
      <c r="AE38" s="8">
        <v>1390106</v>
      </c>
      <c r="AF38" s="8">
        <v>1394318</v>
      </c>
      <c r="AG38" s="8">
        <v>1405722</v>
      </c>
      <c r="AH38" s="8">
        <v>1413444</v>
      </c>
      <c r="AI38" s="8">
        <v>1422937</v>
      </c>
      <c r="AJ38" s="8">
        <v>1425344</v>
      </c>
      <c r="AK38" s="8">
        <v>1427567</v>
      </c>
      <c r="AL38" s="8">
        <v>1444400</v>
      </c>
      <c r="AM38" s="8">
        <v>1447340</v>
      </c>
      <c r="AN38" s="8">
        <v>1454636</v>
      </c>
      <c r="AO38" s="8">
        <v>1458256</v>
      </c>
      <c r="AP38" s="8">
        <v>1464510</v>
      </c>
      <c r="AQ38" s="8">
        <v>1472819</v>
      </c>
      <c r="AR38" s="8">
        <v>1478887</v>
      </c>
      <c r="AS38" s="8">
        <v>1490220</v>
      </c>
      <c r="AT38" s="8">
        <v>1491323</v>
      </c>
      <c r="AU38" s="8">
        <v>1559906</v>
      </c>
      <c r="AV38" s="8">
        <v>1502936</v>
      </c>
      <c r="AW38" s="8">
        <v>1514747</v>
      </c>
      <c r="AX38" s="8">
        <v>1519725</v>
      </c>
      <c r="AY38" s="8">
        <v>1525153</v>
      </c>
      <c r="AZ38" s="8">
        <v>1535031</v>
      </c>
      <c r="BA38" s="8">
        <v>1536633</v>
      </c>
      <c r="BB38" s="8">
        <v>1544965</v>
      </c>
      <c r="BC38" s="8">
        <v>1552991</v>
      </c>
      <c r="BD38" s="8">
        <v>1558070</v>
      </c>
      <c r="BE38" s="8">
        <v>1564076</v>
      </c>
      <c r="BF38" s="8">
        <v>1567782</v>
      </c>
      <c r="BG38" s="8">
        <v>1580497</v>
      </c>
      <c r="BH38" s="8">
        <v>1575336</v>
      </c>
      <c r="BI38" s="8">
        <v>1589410</v>
      </c>
      <c r="BJ38" s="8">
        <v>1589853</v>
      </c>
      <c r="BK38" s="8">
        <v>1597730</v>
      </c>
      <c r="BL38" s="8">
        <v>1608001</v>
      </c>
      <c r="BM38" s="8">
        <v>1605831</v>
      </c>
      <c r="BN38" s="8">
        <v>1611743</v>
      </c>
      <c r="BO38" s="8">
        <v>1614448</v>
      </c>
      <c r="BP38" s="8">
        <v>1620025</v>
      </c>
      <c r="BQ38" s="8">
        <v>1634433</v>
      </c>
      <c r="BR38" s="8">
        <v>1636852</v>
      </c>
      <c r="BS38" s="8">
        <v>1637333</v>
      </c>
      <c r="BT38" s="8">
        <v>1647692</v>
      </c>
      <c r="BU38" s="8">
        <v>1649016</v>
      </c>
      <c r="BV38" s="8">
        <v>1649415</v>
      </c>
      <c r="BW38" s="8">
        <v>1658541</v>
      </c>
      <c r="BX38" s="8">
        <v>1658089</v>
      </c>
      <c r="BY38" s="8">
        <v>1664031</v>
      </c>
      <c r="BZ38" s="8">
        <v>1666938.1237354935</v>
      </c>
      <c r="CA38" s="8">
        <v>1661383.2689857553</v>
      </c>
      <c r="CB38" s="8">
        <v>1623548.4412055912</v>
      </c>
      <c r="CC38" s="8">
        <v>1631706.9760860195</v>
      </c>
      <c r="CD38" s="8">
        <v>1637190.7310513866</v>
      </c>
      <c r="CE38" s="8">
        <v>1643124.2085513314</v>
      </c>
      <c r="CF38" s="8">
        <v>1650001.5090989466</v>
      </c>
      <c r="CG38" s="8">
        <v>1655871.1463957243</v>
      </c>
      <c r="CH38" s="8">
        <v>1662143.7785572466</v>
      </c>
      <c r="CI38" s="8">
        <v>1668204.9221990569</v>
      </c>
      <c r="CJ38" s="8">
        <v>1674992.7623826885</v>
      </c>
      <c r="CK38" s="8">
        <v>1681483.7651384519</v>
      </c>
      <c r="CL38" s="8">
        <v>1688090.516045545</v>
      </c>
      <c r="CM38" s="8">
        <v>1693066.8482817237</v>
      </c>
      <c r="CN38" s="8">
        <v>1695428.0827670656</v>
      </c>
      <c r="CO38" s="8">
        <v>1701344.442192496</v>
      </c>
      <c r="CP38" s="8">
        <v>1711015.7179426341</v>
      </c>
      <c r="CQ38" s="8">
        <v>1716694.3467622253</v>
      </c>
      <c r="CR38" s="8">
        <v>1728139.4983448025</v>
      </c>
      <c r="CS38" s="8">
        <v>1737863.4664837283</v>
      </c>
      <c r="CT38" s="8">
        <v>1746929.7070600723</v>
      </c>
      <c r="CU38" s="8">
        <v>1757021.8378219907</v>
      </c>
      <c r="CV38" s="8">
        <v>1764975.7151890476</v>
      </c>
      <c r="CW38" s="8">
        <v>1772585.5245035382</v>
      </c>
      <c r="CX38" s="8">
        <v>1780837.8177672212</v>
      </c>
      <c r="CY38" s="8">
        <v>1787518.204401724</v>
      </c>
      <c r="CZ38" s="8">
        <v>1794300.3221854432</v>
      </c>
      <c r="DA38" s="8">
        <v>1802711.3078293563</v>
      </c>
      <c r="DB38" s="8">
        <v>1814420.1730232716</v>
      </c>
      <c r="DC38" s="8">
        <v>1823369.6222799367</v>
      </c>
      <c r="DD38" s="8">
        <v>1829889.4140667554</v>
      </c>
      <c r="DE38" s="8">
        <v>1839251.4964127974</v>
      </c>
      <c r="DF38" s="8">
        <v>1849395.961487544</v>
      </c>
      <c r="DG38" s="8">
        <v>1860860.7610669546</v>
      </c>
      <c r="DH38" s="8">
        <v>1869817.5019964236</v>
      </c>
      <c r="DI38" s="8">
        <v>1879801.4150871863</v>
      </c>
      <c r="DJ38" s="8">
        <v>1890163.8301926567</v>
      </c>
      <c r="DK38" s="8">
        <v>1900661.4131770632</v>
      </c>
      <c r="DL38" s="8">
        <v>1910050.2116128022</v>
      </c>
      <c r="DM38" s="8">
        <v>1920484.8456042788</v>
      </c>
      <c r="DN38" s="8">
        <v>1932081.9545246412</v>
      </c>
      <c r="DO38" s="8">
        <v>1944386.1078922562</v>
      </c>
      <c r="DP38" s="8">
        <v>1953903.0571803257</v>
      </c>
      <c r="DQ38" s="8">
        <v>1963392.1569564608</v>
      </c>
      <c r="DR38" s="8">
        <v>1974214.2264219299</v>
      </c>
      <c r="DS38" s="8">
        <v>1986192.6657794968</v>
      </c>
      <c r="DT38" s="8">
        <v>1998189.6167806468</v>
      </c>
      <c r="DU38" s="8">
        <v>2007051.9258177539</v>
      </c>
      <c r="DV38" s="8">
        <v>2017010.619314864</v>
      </c>
      <c r="DW38" s="8">
        <v>2029961.6637701881</v>
      </c>
      <c r="DX38" s="8">
        <v>2038358.9388678363</v>
      </c>
      <c r="DY38" s="8">
        <v>2046678.2581312507</v>
      </c>
      <c r="DZ38" s="8">
        <v>2056302.6906001365</v>
      </c>
      <c r="EA38" s="8">
        <v>2065800.9224062646</v>
      </c>
      <c r="EB38" s="8">
        <v>2072857.4691518988</v>
      </c>
      <c r="EC38" s="8">
        <v>2082792.1946641551</v>
      </c>
      <c r="ED38" s="8">
        <v>2090080.7925819247</v>
      </c>
      <c r="EE38" s="8">
        <v>2099196.3538104617</v>
      </c>
      <c r="EF38" s="8">
        <v>2109246.4957612697</v>
      </c>
      <c r="EG38" s="8">
        <v>2116776.1599336937</v>
      </c>
      <c r="EH38" s="8">
        <v>2128702.0600192496</v>
      </c>
      <c r="EI38" s="8">
        <v>2135913.9990822389</v>
      </c>
    </row>
    <row r="39" spans="1:139" x14ac:dyDescent="0.3"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</row>
    <row r="40" spans="1:139" x14ac:dyDescent="0.3"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3</v>
      </c>
      <c r="AM40" s="1" t="s">
        <v>3</v>
      </c>
      <c r="AN40" s="1" t="s">
        <v>3</v>
      </c>
      <c r="AO40" s="1" t="s">
        <v>3</v>
      </c>
      <c r="AP40" s="1" t="s">
        <v>3</v>
      </c>
      <c r="AQ40" s="1" t="s">
        <v>3</v>
      </c>
      <c r="AR40" s="1" t="s">
        <v>3</v>
      </c>
      <c r="AS40" s="1" t="s">
        <v>3</v>
      </c>
      <c r="AT40" s="1" t="s">
        <v>3</v>
      </c>
      <c r="AU40" s="1" t="s">
        <v>3</v>
      </c>
      <c r="AV40" s="1" t="s">
        <v>3</v>
      </c>
      <c r="AW40" s="1" t="s">
        <v>3</v>
      </c>
      <c r="AX40" s="1" t="s">
        <v>3</v>
      </c>
      <c r="AY40" s="1" t="s">
        <v>3</v>
      </c>
      <c r="AZ40" s="1" t="s">
        <v>3</v>
      </c>
      <c r="BA40" s="1" t="s">
        <v>3</v>
      </c>
      <c r="BB40" s="1" t="s">
        <v>3</v>
      </c>
      <c r="BC40" s="1" t="s">
        <v>3</v>
      </c>
      <c r="BD40" s="1" t="s">
        <v>4</v>
      </c>
      <c r="BE40" s="1" t="s">
        <v>4</v>
      </c>
      <c r="BF40" s="1" t="s">
        <v>4</v>
      </c>
      <c r="BG40" s="1" t="s">
        <v>4</v>
      </c>
      <c r="BH40" s="1" t="s">
        <v>4</v>
      </c>
      <c r="BI40" s="1" t="s">
        <v>4</v>
      </c>
      <c r="BJ40" s="1" t="s">
        <v>4</v>
      </c>
      <c r="BK40" s="1" t="s">
        <v>4</v>
      </c>
      <c r="BL40" s="1" t="s">
        <v>4</v>
      </c>
      <c r="BM40" s="1" t="s">
        <v>4</v>
      </c>
      <c r="BN40" s="1" t="s">
        <v>4</v>
      </c>
      <c r="BO40" s="1" t="s">
        <v>4</v>
      </c>
      <c r="BP40" s="1" t="s">
        <v>5</v>
      </c>
      <c r="BQ40" s="1" t="s">
        <v>5</v>
      </c>
      <c r="BR40" s="1" t="s">
        <v>5</v>
      </c>
      <c r="BS40" s="1" t="s">
        <v>5</v>
      </c>
      <c r="BT40" s="1" t="s">
        <v>5</v>
      </c>
      <c r="BU40" s="1" t="s">
        <v>5</v>
      </c>
      <c r="BV40" s="1" t="s">
        <v>5</v>
      </c>
      <c r="BW40" s="1" t="s">
        <v>5</v>
      </c>
      <c r="BX40" s="1" t="s">
        <v>5</v>
      </c>
      <c r="BY40" s="1" t="s">
        <v>5</v>
      </c>
      <c r="BZ40" s="1" t="s">
        <v>5</v>
      </c>
      <c r="CA40" s="1" t="s">
        <v>5</v>
      </c>
      <c r="CB40" s="1" t="s">
        <v>6</v>
      </c>
      <c r="CC40" s="1" t="s">
        <v>6</v>
      </c>
      <c r="CD40" s="1" t="s">
        <v>6</v>
      </c>
      <c r="CE40" s="1" t="s">
        <v>6</v>
      </c>
      <c r="CF40" s="1" t="s">
        <v>6</v>
      </c>
      <c r="CG40" s="1" t="s">
        <v>6</v>
      </c>
      <c r="CH40" s="1" t="s">
        <v>6</v>
      </c>
      <c r="CI40" s="1" t="s">
        <v>6</v>
      </c>
      <c r="CJ40" s="1" t="s">
        <v>6</v>
      </c>
      <c r="CK40" s="1" t="s">
        <v>6</v>
      </c>
      <c r="CL40" s="1" t="s">
        <v>6</v>
      </c>
      <c r="CM40" s="1" t="s">
        <v>6</v>
      </c>
      <c r="CN40" s="1" t="s">
        <v>7</v>
      </c>
      <c r="CO40" s="1" t="s">
        <v>7</v>
      </c>
      <c r="CP40" s="1" t="s">
        <v>7</v>
      </c>
      <c r="CQ40" s="1" t="s">
        <v>7</v>
      </c>
      <c r="CR40" s="1" t="s">
        <v>7</v>
      </c>
      <c r="CS40" s="1" t="s">
        <v>7</v>
      </c>
      <c r="CT40" s="1" t="s">
        <v>7</v>
      </c>
      <c r="CU40" s="1" t="s">
        <v>7</v>
      </c>
      <c r="CV40" s="1" t="s">
        <v>7</v>
      </c>
      <c r="CW40" s="1" t="s">
        <v>7</v>
      </c>
      <c r="CX40" s="1" t="s">
        <v>7</v>
      </c>
      <c r="CY40" s="1" t="s">
        <v>7</v>
      </c>
      <c r="CZ40" s="1" t="s">
        <v>8</v>
      </c>
      <c r="DA40" s="1" t="s">
        <v>8</v>
      </c>
      <c r="DB40" s="1" t="s">
        <v>8</v>
      </c>
      <c r="DC40" s="1" t="s">
        <v>8</v>
      </c>
      <c r="DD40" s="1" t="s">
        <v>8</v>
      </c>
      <c r="DE40" s="1" t="s">
        <v>8</v>
      </c>
      <c r="DF40" s="1" t="s">
        <v>8</v>
      </c>
      <c r="DG40" s="1" t="s">
        <v>8</v>
      </c>
      <c r="DH40" s="1" t="s">
        <v>8</v>
      </c>
      <c r="DI40" s="1" t="s">
        <v>8</v>
      </c>
      <c r="DJ40" s="1" t="s">
        <v>8</v>
      </c>
      <c r="DK40" s="1" t="s">
        <v>8</v>
      </c>
      <c r="DL40" s="1" t="s">
        <v>9</v>
      </c>
      <c r="DM40" s="1" t="s">
        <v>9</v>
      </c>
      <c r="DN40" s="1" t="s">
        <v>9</v>
      </c>
      <c r="DO40" s="1" t="s">
        <v>9</v>
      </c>
      <c r="DP40" s="1" t="s">
        <v>9</v>
      </c>
      <c r="DQ40" s="1" t="s">
        <v>9</v>
      </c>
      <c r="DR40" s="1" t="s">
        <v>9</v>
      </c>
      <c r="DS40" s="1" t="s">
        <v>9</v>
      </c>
      <c r="DT40" s="1" t="s">
        <v>9</v>
      </c>
      <c r="DU40" s="1" t="s">
        <v>9</v>
      </c>
      <c r="DV40" s="1" t="s">
        <v>9</v>
      </c>
      <c r="DW40" s="1" t="s">
        <v>9</v>
      </c>
      <c r="DX40" s="1" t="s">
        <v>10</v>
      </c>
      <c r="DY40" s="1" t="s">
        <v>10</v>
      </c>
      <c r="DZ40" s="1" t="s">
        <v>10</v>
      </c>
      <c r="EA40" s="1" t="s">
        <v>10</v>
      </c>
      <c r="EB40" s="1" t="s">
        <v>10</v>
      </c>
      <c r="EC40" s="1" t="s">
        <v>10</v>
      </c>
      <c r="ED40" s="1" t="s">
        <v>10</v>
      </c>
      <c r="EE40" s="1" t="s">
        <v>10</v>
      </c>
      <c r="EF40" s="1" t="s">
        <v>10</v>
      </c>
      <c r="EG40" s="1" t="s">
        <v>10</v>
      </c>
      <c r="EH40" s="1" t="s">
        <v>10</v>
      </c>
      <c r="EI40" s="1" t="s">
        <v>10</v>
      </c>
    </row>
    <row r="41" spans="1:139" x14ac:dyDescent="0.3">
      <c r="A41" s="3" t="s">
        <v>31</v>
      </c>
      <c r="B41" s="4">
        <v>43252</v>
      </c>
      <c r="C41" s="4">
        <v>43282</v>
      </c>
      <c r="D41" s="4">
        <v>43313</v>
      </c>
      <c r="E41" s="4">
        <v>43344</v>
      </c>
      <c r="F41" s="4">
        <v>43374</v>
      </c>
      <c r="G41" s="4">
        <v>43405</v>
      </c>
      <c r="H41" s="4">
        <v>43435</v>
      </c>
      <c r="I41" s="4">
        <v>43466</v>
      </c>
      <c r="J41" s="4">
        <v>43497</v>
      </c>
      <c r="K41" s="4">
        <v>43525</v>
      </c>
      <c r="L41" s="4">
        <v>43556</v>
      </c>
      <c r="M41" s="4">
        <v>43586</v>
      </c>
      <c r="N41" s="4">
        <v>43617</v>
      </c>
      <c r="O41" s="4">
        <v>43647</v>
      </c>
      <c r="P41" s="4">
        <v>43678</v>
      </c>
      <c r="Q41" s="4">
        <v>43709</v>
      </c>
      <c r="R41" s="4">
        <v>43739</v>
      </c>
      <c r="S41" s="4">
        <v>43770</v>
      </c>
      <c r="T41" s="4">
        <v>43800</v>
      </c>
      <c r="U41" s="4">
        <v>43831</v>
      </c>
      <c r="V41" s="4">
        <v>43862</v>
      </c>
      <c r="W41" s="4">
        <v>43891</v>
      </c>
      <c r="X41" s="4">
        <v>43922</v>
      </c>
      <c r="Y41" s="4">
        <v>43952</v>
      </c>
      <c r="Z41" s="4">
        <v>43983</v>
      </c>
      <c r="AA41" s="4">
        <v>44013</v>
      </c>
      <c r="AB41" s="4">
        <v>44044</v>
      </c>
      <c r="AC41" s="4">
        <v>44075</v>
      </c>
      <c r="AD41" s="4">
        <v>44105</v>
      </c>
      <c r="AE41" s="4">
        <v>44136</v>
      </c>
      <c r="AF41" s="4">
        <v>44166</v>
      </c>
      <c r="AG41" s="4">
        <v>44197</v>
      </c>
      <c r="AH41" s="4">
        <v>44228</v>
      </c>
      <c r="AI41" s="4">
        <v>44256</v>
      </c>
      <c r="AJ41" s="4">
        <v>44287</v>
      </c>
      <c r="AK41" s="4">
        <v>44317</v>
      </c>
      <c r="AL41" s="4">
        <v>44348</v>
      </c>
      <c r="AM41" s="4">
        <v>44378</v>
      </c>
      <c r="AN41" s="4">
        <v>44409</v>
      </c>
      <c r="AO41" s="4">
        <v>44440</v>
      </c>
      <c r="AP41" s="4">
        <v>44470</v>
      </c>
      <c r="AQ41" s="4">
        <v>44501</v>
      </c>
      <c r="AR41" s="4">
        <v>44531</v>
      </c>
      <c r="AS41" s="4">
        <v>44562</v>
      </c>
      <c r="AT41" s="4">
        <v>44593</v>
      </c>
      <c r="AU41" s="4">
        <v>44621</v>
      </c>
      <c r="AV41" s="4">
        <v>44652</v>
      </c>
      <c r="AW41" s="4">
        <v>44682</v>
      </c>
      <c r="AX41" s="4">
        <v>44713</v>
      </c>
      <c r="AY41" s="4">
        <v>44743</v>
      </c>
      <c r="AZ41" s="4">
        <v>44774</v>
      </c>
      <c r="BA41" s="4">
        <v>44805</v>
      </c>
      <c r="BB41" s="4">
        <v>44835</v>
      </c>
      <c r="BC41" s="4">
        <v>44866</v>
      </c>
      <c r="BD41" s="4">
        <v>44896</v>
      </c>
      <c r="BE41" s="4">
        <v>44927</v>
      </c>
      <c r="BF41" s="4">
        <v>44958</v>
      </c>
      <c r="BG41" s="4">
        <v>44986</v>
      </c>
      <c r="BH41" s="4">
        <v>45017</v>
      </c>
      <c r="BI41" s="4">
        <v>45047</v>
      </c>
      <c r="BJ41" s="4">
        <v>45078</v>
      </c>
      <c r="BK41" s="4">
        <v>45108</v>
      </c>
      <c r="BL41" s="4">
        <v>45139</v>
      </c>
      <c r="BM41" s="4">
        <v>45170</v>
      </c>
      <c r="BN41" s="4">
        <v>45200</v>
      </c>
      <c r="BO41" s="4">
        <v>45231</v>
      </c>
      <c r="BP41" s="4">
        <v>45261</v>
      </c>
      <c r="BQ41" s="4">
        <v>45292</v>
      </c>
      <c r="BR41" s="4">
        <v>45323</v>
      </c>
      <c r="BS41" s="4">
        <v>45352</v>
      </c>
      <c r="BT41" s="4">
        <v>45383</v>
      </c>
      <c r="BU41" s="4">
        <v>45413</v>
      </c>
      <c r="BV41" s="4">
        <v>45444</v>
      </c>
      <c r="BW41" s="4">
        <v>45474</v>
      </c>
      <c r="BX41" s="4">
        <v>45505</v>
      </c>
      <c r="BY41" s="4">
        <v>45536</v>
      </c>
      <c r="BZ41" s="4">
        <v>45566</v>
      </c>
      <c r="CA41" s="4">
        <v>45597</v>
      </c>
      <c r="CB41" s="4">
        <v>45627</v>
      </c>
      <c r="CC41" s="4">
        <v>45658</v>
      </c>
      <c r="CD41" s="4">
        <v>45689</v>
      </c>
      <c r="CE41" s="4">
        <v>45717</v>
      </c>
      <c r="CF41" s="4">
        <v>45748</v>
      </c>
      <c r="CG41" s="4">
        <v>45778</v>
      </c>
      <c r="CH41" s="4">
        <v>45809</v>
      </c>
      <c r="CI41" s="4">
        <v>45839</v>
      </c>
      <c r="CJ41" s="4">
        <v>45870</v>
      </c>
      <c r="CK41" s="4">
        <v>45901</v>
      </c>
      <c r="CL41" s="4">
        <v>45931</v>
      </c>
      <c r="CM41" s="4">
        <v>45962</v>
      </c>
      <c r="CN41" s="4">
        <v>45992</v>
      </c>
      <c r="CO41" s="4">
        <v>46023</v>
      </c>
      <c r="CP41" s="4">
        <v>46054</v>
      </c>
      <c r="CQ41" s="4">
        <v>46082</v>
      </c>
      <c r="CR41" s="4">
        <v>46113</v>
      </c>
      <c r="CS41" s="4">
        <v>46143</v>
      </c>
      <c r="CT41" s="4">
        <v>46174</v>
      </c>
      <c r="CU41" s="4">
        <v>46204</v>
      </c>
      <c r="CV41" s="4">
        <v>46235</v>
      </c>
      <c r="CW41" s="4">
        <v>46266</v>
      </c>
      <c r="CX41" s="4">
        <v>46296</v>
      </c>
      <c r="CY41" s="4">
        <v>46327</v>
      </c>
      <c r="CZ41" s="4">
        <v>46357</v>
      </c>
      <c r="DA41" s="4">
        <v>46388</v>
      </c>
      <c r="DB41" s="4">
        <v>46419</v>
      </c>
      <c r="DC41" s="4">
        <v>46447</v>
      </c>
      <c r="DD41" s="4">
        <v>46478</v>
      </c>
      <c r="DE41" s="4">
        <v>46508</v>
      </c>
      <c r="DF41" s="4">
        <v>46539</v>
      </c>
      <c r="DG41" s="4">
        <v>46569</v>
      </c>
      <c r="DH41" s="4">
        <v>46600</v>
      </c>
      <c r="DI41" s="4">
        <v>46631</v>
      </c>
      <c r="DJ41" s="4">
        <v>46661</v>
      </c>
      <c r="DK41" s="4">
        <v>46692</v>
      </c>
      <c r="DL41" s="4">
        <v>46722</v>
      </c>
      <c r="DM41" s="4">
        <v>46753</v>
      </c>
      <c r="DN41" s="4">
        <v>46784</v>
      </c>
      <c r="DO41" s="4">
        <v>46813</v>
      </c>
      <c r="DP41" s="4">
        <v>46844</v>
      </c>
      <c r="DQ41" s="4">
        <v>46874</v>
      </c>
      <c r="DR41" s="4">
        <v>46905</v>
      </c>
      <c r="DS41" s="4">
        <v>46935</v>
      </c>
      <c r="DT41" s="4">
        <v>46966</v>
      </c>
      <c r="DU41" s="4">
        <v>46997</v>
      </c>
      <c r="DV41" s="4">
        <v>47027</v>
      </c>
      <c r="DW41" s="4">
        <v>47058</v>
      </c>
      <c r="DX41" s="4">
        <v>47088</v>
      </c>
      <c r="DY41" s="4">
        <v>47119</v>
      </c>
      <c r="DZ41" s="4">
        <v>47150</v>
      </c>
      <c r="EA41" s="4">
        <v>47178</v>
      </c>
      <c r="EB41" s="4">
        <v>47209</v>
      </c>
      <c r="EC41" s="4">
        <v>47239</v>
      </c>
      <c r="ED41" s="4">
        <v>47270</v>
      </c>
      <c r="EE41" s="4">
        <v>47300</v>
      </c>
      <c r="EF41" s="4">
        <v>47331</v>
      </c>
      <c r="EG41" s="4">
        <v>47362</v>
      </c>
      <c r="EH41" s="4">
        <v>47392</v>
      </c>
      <c r="EI41" s="4">
        <v>47423</v>
      </c>
    </row>
    <row r="42" spans="1:139" x14ac:dyDescent="0.3">
      <c r="A42" s="5" t="s">
        <v>12</v>
      </c>
      <c r="B42" s="6">
        <v>13873625.150000002</v>
      </c>
      <c r="C42" s="6">
        <v>13428091.249999996</v>
      </c>
      <c r="D42" s="6">
        <v>13478410.300000004</v>
      </c>
      <c r="E42" s="6">
        <v>14503410.939999998</v>
      </c>
      <c r="F42" s="6">
        <v>13029252.009999996</v>
      </c>
      <c r="G42" s="6">
        <v>12458321.650000008</v>
      </c>
      <c r="H42" s="6">
        <v>11448690.199999996</v>
      </c>
      <c r="I42" s="6">
        <v>10272579.349999998</v>
      </c>
      <c r="J42" s="6">
        <v>9799307</v>
      </c>
      <c r="K42" s="6">
        <v>10717746.729999989</v>
      </c>
      <c r="L42" s="6">
        <v>10930106.73000001</v>
      </c>
      <c r="M42" s="6">
        <v>11665790.720000008</v>
      </c>
      <c r="N42" s="6">
        <v>12993614.089999998</v>
      </c>
      <c r="O42" s="6">
        <v>13783973.62999998</v>
      </c>
      <c r="P42" s="6">
        <v>14607571.960000003</v>
      </c>
      <c r="Q42" s="6">
        <v>14881907.699999996</v>
      </c>
      <c r="R42" s="6">
        <v>12919795.560000006</v>
      </c>
      <c r="S42" s="6">
        <v>11693345.99</v>
      </c>
      <c r="T42" s="6">
        <v>12575429.729999999</v>
      </c>
      <c r="U42" s="6">
        <v>11076018.020000005</v>
      </c>
      <c r="V42" s="6">
        <v>10384892.689999996</v>
      </c>
      <c r="W42" s="6">
        <v>11783154.020000009</v>
      </c>
      <c r="X42" s="6">
        <v>13019530.570000006</v>
      </c>
      <c r="Y42" s="6">
        <v>14353616.559999997</v>
      </c>
      <c r="Z42" s="6">
        <v>15429292.709999997</v>
      </c>
      <c r="AA42" s="6">
        <v>14981536.649999989</v>
      </c>
      <c r="AB42" s="6">
        <v>15126422.770000003</v>
      </c>
      <c r="AC42" s="6">
        <v>15128241.469999997</v>
      </c>
      <c r="AD42" s="6">
        <v>12833338.459999993</v>
      </c>
      <c r="AE42" s="6">
        <v>13578387.789999995</v>
      </c>
      <c r="AF42" s="6">
        <v>11905747.689999998</v>
      </c>
      <c r="AG42" s="6">
        <v>11707378.669999998</v>
      </c>
      <c r="AH42" s="6">
        <v>10549026.800000004</v>
      </c>
      <c r="AI42" s="6">
        <v>10965326.610000005</v>
      </c>
      <c r="AJ42" s="6">
        <v>12749269.399999999</v>
      </c>
      <c r="AK42" s="6">
        <v>13702902.630000005</v>
      </c>
      <c r="AL42" s="6">
        <v>15625297.299999988</v>
      </c>
      <c r="AM42" s="6">
        <v>15218901.16</v>
      </c>
      <c r="AN42" s="6">
        <v>16041462.850000001</v>
      </c>
      <c r="AO42" s="6">
        <v>14891730.900000006</v>
      </c>
      <c r="AP42" s="6">
        <v>13862814.930000005</v>
      </c>
      <c r="AQ42" s="6">
        <v>13916268.66</v>
      </c>
      <c r="AR42" s="6">
        <v>12325913.189999998</v>
      </c>
      <c r="AS42" s="6">
        <v>12065127.750000002</v>
      </c>
      <c r="AT42" s="6">
        <v>11280055.460000001</v>
      </c>
      <c r="AU42" s="6">
        <v>10988529.479999993</v>
      </c>
      <c r="AV42" s="6">
        <v>12108145.389999988</v>
      </c>
      <c r="AW42" s="6">
        <v>13493792.940000001</v>
      </c>
      <c r="AX42" s="6">
        <v>15324006.300000006</v>
      </c>
      <c r="AY42" s="6">
        <v>15319171.819999989</v>
      </c>
      <c r="AZ42" s="6">
        <v>14787230.830000006</v>
      </c>
      <c r="BA42" s="6">
        <v>16838792.389999997</v>
      </c>
      <c r="BB42" s="6">
        <v>15850562.730000002</v>
      </c>
      <c r="BC42" s="6">
        <v>14141486.100000005</v>
      </c>
      <c r="BD42" s="6">
        <v>13069191.849999994</v>
      </c>
      <c r="BE42" s="6">
        <v>12254668.030000005</v>
      </c>
      <c r="BF42" s="6">
        <v>11901014.670000013</v>
      </c>
      <c r="BG42" s="6">
        <v>11759338.279999997</v>
      </c>
      <c r="BH42" s="6">
        <v>12624535.359999992</v>
      </c>
      <c r="BI42" s="6">
        <v>13169016.920000004</v>
      </c>
      <c r="BJ42" s="6">
        <v>15268640.849999985</v>
      </c>
      <c r="BK42" s="6">
        <v>16050800.669999987</v>
      </c>
      <c r="BL42" s="6">
        <v>15274355.259999994</v>
      </c>
      <c r="BM42" s="6">
        <v>15737414.169999989</v>
      </c>
      <c r="BN42" s="6">
        <v>13382232.380000005</v>
      </c>
      <c r="BO42" s="6">
        <v>13540085.17</v>
      </c>
      <c r="BP42" s="6">
        <v>10824320.51999999</v>
      </c>
      <c r="BQ42" s="6">
        <v>11205684.029999992</v>
      </c>
      <c r="BR42" s="6">
        <v>11478130.040000007</v>
      </c>
      <c r="BS42" s="6">
        <v>10916917.220000001</v>
      </c>
      <c r="BT42" s="6">
        <v>12077348.959999992</v>
      </c>
      <c r="BU42" s="6">
        <v>13243308.360000001</v>
      </c>
      <c r="BV42" s="6">
        <v>15109520.449999999</v>
      </c>
      <c r="BW42" s="6">
        <v>14971679.810000006</v>
      </c>
      <c r="BX42" s="6">
        <v>16326994.679999998</v>
      </c>
      <c r="BY42" s="6">
        <v>16003957.79999999</v>
      </c>
      <c r="BZ42" s="6">
        <v>14061458.009999994</v>
      </c>
      <c r="CA42" s="6">
        <v>14233820.939999998</v>
      </c>
      <c r="CB42" s="7">
        <v>10824690.197193198</v>
      </c>
      <c r="CC42" s="7">
        <v>10321343.445746882</v>
      </c>
      <c r="CD42" s="7">
        <v>10595756.567107828</v>
      </c>
      <c r="CE42" s="7">
        <v>11602428.870915037</v>
      </c>
      <c r="CF42" s="7">
        <v>12568310.991851212</v>
      </c>
      <c r="CG42" s="7">
        <v>16355699.204600256</v>
      </c>
      <c r="CH42" s="7">
        <v>16376242.972951064</v>
      </c>
      <c r="CI42" s="7">
        <v>16674285.550459636</v>
      </c>
      <c r="CJ42" s="7">
        <v>17044098.666258946</v>
      </c>
      <c r="CK42" s="7">
        <v>15142794.145042088</v>
      </c>
      <c r="CL42" s="7">
        <v>14767499.183457192</v>
      </c>
      <c r="CM42" s="7">
        <v>11387826.883234115</v>
      </c>
      <c r="CN42" s="7">
        <v>11226538.068929678</v>
      </c>
      <c r="CO42" s="7">
        <v>10704505.441293897</v>
      </c>
      <c r="CP42" s="7">
        <v>10989105.674413851</v>
      </c>
      <c r="CQ42" s="7">
        <v>12033148.943620687</v>
      </c>
      <c r="CR42" s="7">
        <v>13034887.765079081</v>
      </c>
      <c r="CS42" s="7">
        <v>16962876.204255648</v>
      </c>
      <c r="CT42" s="7">
        <v>16984182.62441808</v>
      </c>
      <c r="CU42" s="7">
        <v>17293289.516311344</v>
      </c>
      <c r="CV42" s="7">
        <v>17676831.303399809</v>
      </c>
      <c r="CW42" s="7">
        <v>15704944.145501841</v>
      </c>
      <c r="CX42" s="7">
        <v>15315717.008599324</v>
      </c>
      <c r="CY42" s="7">
        <v>11810580.228906566</v>
      </c>
      <c r="CZ42" s="7">
        <v>11706343.892234636</v>
      </c>
      <c r="DA42" s="7">
        <v>11162000.353331549</v>
      </c>
      <c r="DB42" s="7">
        <v>11458763.984315258</v>
      </c>
      <c r="DC42" s="7">
        <v>12547428.136404427</v>
      </c>
      <c r="DD42" s="7">
        <v>13591979.810499609</v>
      </c>
      <c r="DE42" s="7">
        <v>17687844.732650705</v>
      </c>
      <c r="DF42" s="7">
        <v>17710061.758059807</v>
      </c>
      <c r="DG42" s="7">
        <v>18032379.426582836</v>
      </c>
      <c r="DH42" s="7">
        <v>18432313.22889417</v>
      </c>
      <c r="DI42" s="7">
        <v>16376150.496865448</v>
      </c>
      <c r="DJ42" s="7">
        <v>15970288.36120129</v>
      </c>
      <c r="DK42" s="7">
        <v>12315347.160230033</v>
      </c>
      <c r="DL42" s="7">
        <v>12243282.436534286</v>
      </c>
      <c r="DM42" s="7">
        <v>11673971.321924552</v>
      </c>
      <c r="DN42" s="7">
        <v>11984346.703382034</v>
      </c>
      <c r="DO42" s="7">
        <v>13122944.955343476</v>
      </c>
      <c r="DP42" s="7">
        <v>14215407.408457078</v>
      </c>
      <c r="DQ42" s="7">
        <v>18499138.650715735</v>
      </c>
      <c r="DR42" s="7">
        <v>18522374.711392533</v>
      </c>
      <c r="DS42" s="7">
        <v>18859476.225438289</v>
      </c>
      <c r="DT42" s="7">
        <v>19277753.916807216</v>
      </c>
      <c r="DU42" s="7">
        <v>17127280.524307396</v>
      </c>
      <c r="DV42" s="7">
        <v>16702802.582861682</v>
      </c>
      <c r="DW42" s="7">
        <v>12880219.04829623</v>
      </c>
      <c r="DX42" s="7">
        <v>12783458.682129199</v>
      </c>
      <c r="DY42" s="7">
        <v>12189029.439104179</v>
      </c>
      <c r="DZ42" s="7">
        <v>12513098.648924274</v>
      </c>
      <c r="EA42" s="7">
        <v>13701932.099834492</v>
      </c>
      <c r="EB42" s="7">
        <v>14842594.230561942</v>
      </c>
      <c r="EC42" s="7">
        <v>19315324.613498412</v>
      </c>
      <c r="ED42" s="7">
        <v>19339585.854153212</v>
      </c>
      <c r="EE42" s="7">
        <v>19691560.35926044</v>
      </c>
      <c r="EF42" s="7">
        <v>20128292.552035417</v>
      </c>
      <c r="EG42" s="7">
        <v>17882939.812478635</v>
      </c>
      <c r="EH42" s="7">
        <v>17439733.813264389</v>
      </c>
      <c r="EI42" s="7">
        <v>13448497.073737092</v>
      </c>
    </row>
    <row r="43" spans="1:139" x14ac:dyDescent="0.3">
      <c r="A43" s="5" t="s">
        <v>13</v>
      </c>
      <c r="B43" s="6">
        <v>12389809.890000001</v>
      </c>
      <c r="C43" s="6">
        <v>11966696.24</v>
      </c>
      <c r="D43" s="6">
        <v>12583762.490000006</v>
      </c>
      <c r="E43" s="6">
        <v>13204783.679999996</v>
      </c>
      <c r="F43" s="6">
        <v>11707935.160000002</v>
      </c>
      <c r="G43" s="6">
        <v>11260542.779999997</v>
      </c>
      <c r="H43" s="6">
        <v>10148304.540000003</v>
      </c>
      <c r="I43" s="6">
        <v>8437863.2599999979</v>
      </c>
      <c r="J43" s="6">
        <v>7818537.4700000025</v>
      </c>
      <c r="K43" s="6">
        <v>9274163.7600000072</v>
      </c>
      <c r="L43" s="6">
        <v>11384551.870000005</v>
      </c>
      <c r="M43" s="6">
        <v>8290716.5500000017</v>
      </c>
      <c r="N43" s="6">
        <v>10950699.750000002</v>
      </c>
      <c r="O43" s="6">
        <v>13536361.820000004</v>
      </c>
      <c r="P43" s="6">
        <v>13753001.059999995</v>
      </c>
      <c r="Q43" s="6">
        <v>13966509.039999999</v>
      </c>
      <c r="R43" s="6">
        <v>12056363.099999994</v>
      </c>
      <c r="S43" s="6">
        <v>10583416.950000003</v>
      </c>
      <c r="T43" s="6">
        <v>11620419.91</v>
      </c>
      <c r="U43" s="6">
        <v>10331433.470000001</v>
      </c>
      <c r="V43" s="6">
        <v>8652740.4600000065</v>
      </c>
      <c r="W43" s="6">
        <v>10839464.360000007</v>
      </c>
      <c r="X43" s="6">
        <v>10730760.640000001</v>
      </c>
      <c r="Y43" s="6">
        <v>11806951.229999995</v>
      </c>
      <c r="Z43" s="6">
        <v>13239228.930000005</v>
      </c>
      <c r="AA43" s="6">
        <v>13085762.189999996</v>
      </c>
      <c r="AB43" s="6">
        <v>13752769.950000001</v>
      </c>
      <c r="AC43" s="6">
        <v>13783462.879999995</v>
      </c>
      <c r="AD43" s="6">
        <v>11526998.709999999</v>
      </c>
      <c r="AE43" s="6">
        <v>12630442.1</v>
      </c>
      <c r="AF43" s="6">
        <v>10761151.799999997</v>
      </c>
      <c r="AG43" s="6">
        <v>10168091.349999994</v>
      </c>
      <c r="AH43" s="6">
        <v>9102770.4399999864</v>
      </c>
      <c r="AI43" s="6">
        <v>9547056.8400000054</v>
      </c>
      <c r="AJ43" s="6">
        <v>10818849.419999991</v>
      </c>
      <c r="AK43" s="6">
        <v>12761227.739999993</v>
      </c>
      <c r="AL43" s="6">
        <v>14820543.179999998</v>
      </c>
      <c r="AM43" s="6">
        <v>14601283.819999991</v>
      </c>
      <c r="AN43" s="6">
        <v>15659124.999999996</v>
      </c>
      <c r="AO43" s="6">
        <v>14223061.890000002</v>
      </c>
      <c r="AP43" s="6">
        <v>13118601.490000013</v>
      </c>
      <c r="AQ43" s="6">
        <v>13486290.880000001</v>
      </c>
      <c r="AR43" s="6">
        <v>11720832.580000002</v>
      </c>
      <c r="AS43" s="6">
        <v>11175892.979999986</v>
      </c>
      <c r="AT43" s="6">
        <v>10147214.809999995</v>
      </c>
      <c r="AU43" s="6">
        <v>9874317.0999999996</v>
      </c>
      <c r="AV43" s="6">
        <v>11093517.710000008</v>
      </c>
      <c r="AW43" s="6">
        <v>13027386.189999998</v>
      </c>
      <c r="AX43" s="6">
        <v>15110406.249999996</v>
      </c>
      <c r="AY43" s="6">
        <v>15079339.329999994</v>
      </c>
      <c r="AZ43" s="6">
        <v>14553768.43</v>
      </c>
      <c r="BA43" s="6">
        <v>16860799.819999993</v>
      </c>
      <c r="BB43" s="6">
        <v>16021961.829999991</v>
      </c>
      <c r="BC43" s="6">
        <v>13850327.760000005</v>
      </c>
      <c r="BD43" s="6">
        <v>12753091.889999997</v>
      </c>
      <c r="BE43" s="6">
        <v>11498362.130000003</v>
      </c>
      <c r="BF43" s="6">
        <v>10963722.77</v>
      </c>
      <c r="BG43" s="6">
        <v>10799011.199999999</v>
      </c>
      <c r="BH43" s="6">
        <v>11613993.149999995</v>
      </c>
      <c r="BI43" s="6">
        <v>12827255.460000003</v>
      </c>
      <c r="BJ43" s="6">
        <v>15151977.519999998</v>
      </c>
      <c r="BK43" s="6">
        <v>16093576.459999997</v>
      </c>
      <c r="BL43" s="6">
        <v>15199612.759999998</v>
      </c>
      <c r="BM43" s="6">
        <v>15400262.390000002</v>
      </c>
      <c r="BN43" s="6">
        <v>12893518.629999995</v>
      </c>
      <c r="BO43" s="6">
        <v>12983199.739999995</v>
      </c>
      <c r="BP43" s="6">
        <v>9854118.0800000094</v>
      </c>
      <c r="BQ43" s="6">
        <v>10013531.960000003</v>
      </c>
      <c r="BR43" s="6">
        <v>10508746.959999997</v>
      </c>
      <c r="BS43" s="6">
        <v>9840196.3599999994</v>
      </c>
      <c r="BT43" s="6">
        <v>11106815.199999999</v>
      </c>
      <c r="BU43" s="6">
        <v>12646040.030000007</v>
      </c>
      <c r="BV43" s="6">
        <v>14641018.050000001</v>
      </c>
      <c r="BW43" s="6">
        <v>15593888.509999996</v>
      </c>
      <c r="BX43" s="6">
        <v>16613702.979999995</v>
      </c>
      <c r="BY43" s="6">
        <v>16350156.840000011</v>
      </c>
      <c r="BZ43" s="6">
        <v>14005515.050000006</v>
      </c>
      <c r="CA43" s="6">
        <v>14124433.440000001</v>
      </c>
      <c r="CB43" s="7">
        <v>10413380.063243357</v>
      </c>
      <c r="CC43" s="7">
        <v>9664557.9761481527</v>
      </c>
      <c r="CD43" s="7">
        <v>10168196.897665685</v>
      </c>
      <c r="CE43" s="7">
        <v>11279113.972412048</v>
      </c>
      <c r="CF43" s="7">
        <v>12058292.681963362</v>
      </c>
      <c r="CG43" s="7">
        <v>16273330.762366764</v>
      </c>
      <c r="CH43" s="7">
        <v>16890650.197261158</v>
      </c>
      <c r="CI43" s="7">
        <v>17255448.544766802</v>
      </c>
      <c r="CJ43" s="7">
        <v>17538200.601590868</v>
      </c>
      <c r="CK43" s="7">
        <v>15433032.167623637</v>
      </c>
      <c r="CL43" s="7">
        <v>15025413.443702823</v>
      </c>
      <c r="CM43" s="7">
        <v>11297605.516044743</v>
      </c>
      <c r="CN43" s="7">
        <v>10573154.917980874</v>
      </c>
      <c r="CO43" s="7">
        <v>9812843.4835783318</v>
      </c>
      <c r="CP43" s="7">
        <v>10324209.851423277</v>
      </c>
      <c r="CQ43" s="7">
        <v>11452171.979088575</v>
      </c>
      <c r="CR43" s="7">
        <v>12243305.804498233</v>
      </c>
      <c r="CS43" s="7">
        <v>16523016.171221692</v>
      </c>
      <c r="CT43" s="7">
        <v>17149807.278372154</v>
      </c>
      <c r="CU43" s="7">
        <v>17520202.809753463</v>
      </c>
      <c r="CV43" s="7">
        <v>17807293.195586111</v>
      </c>
      <c r="CW43" s="7">
        <v>15669824.684344037</v>
      </c>
      <c r="CX43" s="7">
        <v>15255951.773789562</v>
      </c>
      <c r="CY43" s="7">
        <v>11470947.242673852</v>
      </c>
      <c r="CZ43" s="7">
        <v>10653255.84541502</v>
      </c>
      <c r="DA43" s="7">
        <v>9887184.384652622</v>
      </c>
      <c r="DB43" s="7">
        <v>10402424.801505715</v>
      </c>
      <c r="DC43" s="7">
        <v>11538932.232180139</v>
      </c>
      <c r="DD43" s="7">
        <v>12336059.590611067</v>
      </c>
      <c r="DE43" s="7">
        <v>16648192.519207807</v>
      </c>
      <c r="DF43" s="7">
        <v>17279732.119062643</v>
      </c>
      <c r="DG43" s="7">
        <v>17652933.72165082</v>
      </c>
      <c r="DH43" s="7">
        <v>17942199.069104768</v>
      </c>
      <c r="DI43" s="7">
        <v>15788537.358061884</v>
      </c>
      <c r="DJ43" s="7">
        <v>15371528.996997848</v>
      </c>
      <c r="DK43" s="7">
        <v>11557849.734864127</v>
      </c>
      <c r="DL43" s="7">
        <v>10682233.79847108</v>
      </c>
      <c r="DM43" s="7">
        <v>9914078.5444393121</v>
      </c>
      <c r="DN43" s="7">
        <v>10430720.468289781</v>
      </c>
      <c r="DO43" s="7">
        <v>11570319.316222163</v>
      </c>
      <c r="DP43" s="7">
        <v>12369614.943162506</v>
      </c>
      <c r="DQ43" s="7">
        <v>16693477.317422578</v>
      </c>
      <c r="DR43" s="7">
        <v>17326734.770029958</v>
      </c>
      <c r="DS43" s="7">
        <v>17700951.519412436</v>
      </c>
      <c r="DT43" s="7">
        <v>17991003.698402278</v>
      </c>
      <c r="DU43" s="7">
        <v>15831483.805704247</v>
      </c>
      <c r="DV43" s="7">
        <v>15413341.138951294</v>
      </c>
      <c r="DW43" s="7">
        <v>11589288.276461722</v>
      </c>
      <c r="DX43" s="7">
        <v>10682888.671898955</v>
      </c>
      <c r="DY43" s="7">
        <v>9914686.3261751439</v>
      </c>
      <c r="DZ43" s="7">
        <v>10431359.92271449</v>
      </c>
      <c r="EA43" s="7">
        <v>11571028.633656617</v>
      </c>
      <c r="EB43" s="7">
        <v>12370373.26134689</v>
      </c>
      <c r="EC43" s="7">
        <v>16694500.709619395</v>
      </c>
      <c r="ED43" s="7">
        <v>17327796.984020647</v>
      </c>
      <c r="EE43" s="7">
        <v>17702036.674728889</v>
      </c>
      <c r="EF43" s="7">
        <v>17992106.635342728</v>
      </c>
      <c r="EG43" s="7">
        <v>15832454.353462674</v>
      </c>
      <c r="EH43" s="7">
        <v>15414286.052509366</v>
      </c>
      <c r="EI43" s="7">
        <v>11589998.756786652</v>
      </c>
    </row>
    <row r="44" spans="1:139" x14ac:dyDescent="0.3">
      <c r="A44" s="5" t="s">
        <v>14</v>
      </c>
      <c r="B44" s="6">
        <v>12525290.509999998</v>
      </c>
      <c r="C44" s="6">
        <v>12703009.689999998</v>
      </c>
      <c r="D44" s="6">
        <v>13176617.809999999</v>
      </c>
      <c r="E44" s="6">
        <v>13906231.249999996</v>
      </c>
      <c r="F44" s="6">
        <v>12713866.689999999</v>
      </c>
      <c r="G44" s="6">
        <v>12857001.380000001</v>
      </c>
      <c r="H44" s="6">
        <v>12076458.23</v>
      </c>
      <c r="I44" s="6">
        <v>11758233.940000001</v>
      </c>
      <c r="J44" s="6">
        <v>12026570.349999994</v>
      </c>
      <c r="K44" s="6">
        <v>12874067.730000004</v>
      </c>
      <c r="L44" s="6">
        <v>10657111.560000002</v>
      </c>
      <c r="M44" s="6">
        <v>12553976.369999999</v>
      </c>
      <c r="N44" s="6">
        <v>11508985.140000002</v>
      </c>
      <c r="O44" s="6">
        <v>14075176.150000006</v>
      </c>
      <c r="P44" s="6">
        <v>13496474.820000006</v>
      </c>
      <c r="Q44" s="6">
        <v>13306523.099999992</v>
      </c>
      <c r="R44" s="6">
        <v>12981670.440000001</v>
      </c>
      <c r="S44" s="6">
        <v>12403915.119999992</v>
      </c>
      <c r="T44" s="6">
        <v>12651463.209999999</v>
      </c>
      <c r="U44" s="6">
        <v>12245528.080000004</v>
      </c>
      <c r="V44" s="6">
        <v>11340716.540000001</v>
      </c>
      <c r="W44" s="6">
        <v>11796704.600000003</v>
      </c>
      <c r="X44" s="6">
        <v>8494249.6300000008</v>
      </c>
      <c r="Y44" s="6">
        <v>5777120.0000000019</v>
      </c>
      <c r="Z44" s="6">
        <v>6403022.4200000018</v>
      </c>
      <c r="AA44" s="6">
        <v>6685109.6899999967</v>
      </c>
      <c r="AB44" s="6">
        <v>9067984</v>
      </c>
      <c r="AC44" s="6">
        <v>8174633.1100000003</v>
      </c>
      <c r="AD44" s="6">
        <v>9383726.7400000058</v>
      </c>
      <c r="AE44" s="6">
        <v>10391897.579999998</v>
      </c>
      <c r="AF44" s="6">
        <v>9526897.0799999945</v>
      </c>
      <c r="AG44" s="6">
        <v>9025184.1300000008</v>
      </c>
      <c r="AH44" s="6">
        <v>8802231.4499999974</v>
      </c>
      <c r="AI44" s="6">
        <v>8312164.0299999965</v>
      </c>
      <c r="AJ44" s="6">
        <v>7485609.8699999992</v>
      </c>
      <c r="AK44" s="6">
        <v>8485498.0799999963</v>
      </c>
      <c r="AL44" s="6">
        <v>10711336.929999998</v>
      </c>
      <c r="AM44" s="6">
        <v>10480297.959999999</v>
      </c>
      <c r="AN44" s="6">
        <v>11428896.979999997</v>
      </c>
      <c r="AO44" s="6">
        <v>11347959.139999997</v>
      </c>
      <c r="AP44" s="6">
        <v>11332810.92</v>
      </c>
      <c r="AQ44" s="6">
        <v>11431753.08</v>
      </c>
      <c r="AR44" s="6">
        <v>11010027.160000002</v>
      </c>
      <c r="AS44" s="6">
        <v>10462661.140000002</v>
      </c>
      <c r="AT44" s="6">
        <v>9926533.9999999944</v>
      </c>
      <c r="AU44" s="6">
        <v>9883813.3799999934</v>
      </c>
      <c r="AV44" s="6">
        <v>10816875.250000002</v>
      </c>
      <c r="AW44" s="6">
        <v>11561870.050000003</v>
      </c>
      <c r="AX44" s="6">
        <v>12026412.099999992</v>
      </c>
      <c r="AY44" s="6">
        <v>12040466.700000003</v>
      </c>
      <c r="AZ44" s="6">
        <v>12332126.089999998</v>
      </c>
      <c r="BA44" s="6">
        <v>13040446.780000003</v>
      </c>
      <c r="BB44" s="6">
        <v>12640266.27</v>
      </c>
      <c r="BC44" s="6">
        <v>12305141.369999999</v>
      </c>
      <c r="BD44" s="6">
        <v>11766234.890000006</v>
      </c>
      <c r="BE44" s="6">
        <v>10672217.850000005</v>
      </c>
      <c r="BF44" s="6">
        <v>10809979.829999998</v>
      </c>
      <c r="BG44" s="6">
        <v>10752479.4</v>
      </c>
      <c r="BH44" s="6">
        <v>11397423.029999994</v>
      </c>
      <c r="BI44" s="6">
        <v>11018338.610000001</v>
      </c>
      <c r="BJ44" s="6">
        <v>12388657.819999998</v>
      </c>
      <c r="BK44" s="6">
        <v>12563903.339999998</v>
      </c>
      <c r="BL44" s="6">
        <v>12675806.979999997</v>
      </c>
      <c r="BM44" s="6">
        <v>12960295.999999998</v>
      </c>
      <c r="BN44" s="6">
        <v>12118907.450000003</v>
      </c>
      <c r="BO44" s="6">
        <v>12370071.34</v>
      </c>
      <c r="BP44" s="6">
        <v>10901365.66</v>
      </c>
      <c r="BQ44" s="6">
        <v>11327224.369999999</v>
      </c>
      <c r="BR44" s="6">
        <v>11176275.789999997</v>
      </c>
      <c r="BS44" s="6">
        <v>10363149.630000001</v>
      </c>
      <c r="BT44" s="6">
        <v>11512361.090000002</v>
      </c>
      <c r="BU44" s="6">
        <v>11803459.649999999</v>
      </c>
      <c r="BV44" s="6">
        <v>12452516.029999999</v>
      </c>
      <c r="BW44" s="6">
        <v>12993096.219999997</v>
      </c>
      <c r="BX44" s="6">
        <v>13177068.869999994</v>
      </c>
      <c r="BY44" s="6">
        <v>12934136.739999996</v>
      </c>
      <c r="BZ44" s="6">
        <v>12724647.220000004</v>
      </c>
      <c r="CA44" s="6">
        <v>12750976.580000004</v>
      </c>
      <c r="CB44" s="7">
        <v>11205656.77707601</v>
      </c>
      <c r="CC44" s="7">
        <v>10964618.125000425</v>
      </c>
      <c r="CD44" s="7">
        <v>10947520.029710617</v>
      </c>
      <c r="CE44" s="7">
        <v>10328344.552083526</v>
      </c>
      <c r="CF44" s="7">
        <v>10471494.109293694</v>
      </c>
      <c r="CG44" s="7">
        <v>13348740.042358613</v>
      </c>
      <c r="CH44" s="7">
        <v>13951847.399514172</v>
      </c>
      <c r="CI44" s="7">
        <v>14604416.441409612</v>
      </c>
      <c r="CJ44" s="7">
        <v>14658356.479210626</v>
      </c>
      <c r="CK44" s="7">
        <v>14354764.805108052</v>
      </c>
      <c r="CL44" s="7">
        <v>14459968.771842068</v>
      </c>
      <c r="CM44" s="7">
        <v>11623384.907953225</v>
      </c>
      <c r="CN44" s="7">
        <v>11288611.87416061</v>
      </c>
      <c r="CO44" s="7">
        <v>11045788.821118455</v>
      </c>
      <c r="CP44" s="7">
        <v>11028564.149209095</v>
      </c>
      <c r="CQ44" s="7">
        <v>10404804.936520256</v>
      </c>
      <c r="CR44" s="7">
        <v>10549014.225047583</v>
      </c>
      <c r="CS44" s="7">
        <v>13447560.31217414</v>
      </c>
      <c r="CT44" s="7">
        <v>14055132.452640546</v>
      </c>
      <c r="CU44" s="7">
        <v>14712532.44102148</v>
      </c>
      <c r="CV44" s="7">
        <v>14766871.795092972</v>
      </c>
      <c r="CW44" s="7">
        <v>14461032.642123228</v>
      </c>
      <c r="CX44" s="7">
        <v>14567015.430255013</v>
      </c>
      <c r="CY44" s="7">
        <v>11709432.43222359</v>
      </c>
      <c r="CZ44" s="7">
        <v>11384570.628185382</v>
      </c>
      <c r="DA44" s="7">
        <v>11139683.459742837</v>
      </c>
      <c r="DB44" s="7">
        <v>11122312.369649086</v>
      </c>
      <c r="DC44" s="7">
        <v>10493250.896812741</v>
      </c>
      <c r="DD44" s="7">
        <v>10638686.035231989</v>
      </c>
      <c r="DE44" s="7">
        <v>13561871.189952031</v>
      </c>
      <c r="DF44" s="7">
        <v>14174607.992489316</v>
      </c>
      <c r="DG44" s="7">
        <v>14837596.204159707</v>
      </c>
      <c r="DH44" s="7">
        <v>14892397.469471429</v>
      </c>
      <c r="DI44" s="7">
        <v>14583958.533253038</v>
      </c>
      <c r="DJ44" s="7">
        <v>14690842.227218997</v>
      </c>
      <c r="DK44" s="7">
        <v>11808968.368001971</v>
      </c>
      <c r="DL44" s="7">
        <v>11506363.927116543</v>
      </c>
      <c r="DM44" s="7">
        <v>11258856.930743312</v>
      </c>
      <c r="DN44" s="7">
        <v>11241300.002954176</v>
      </c>
      <c r="DO44" s="7">
        <v>10605508.766255016</v>
      </c>
      <c r="DP44" s="7">
        <v>10752499.784633821</v>
      </c>
      <c r="DQ44" s="7">
        <v>13706957.472592711</v>
      </c>
      <c r="DR44" s="7">
        <v>14326249.396003224</v>
      </c>
      <c r="DS44" s="7">
        <v>14996330.323252359</v>
      </c>
      <c r="DT44" s="7">
        <v>15051717.858095525</v>
      </c>
      <c r="DU44" s="7">
        <v>14739979.210646221</v>
      </c>
      <c r="DV44" s="7">
        <v>14848006.357282933</v>
      </c>
      <c r="DW44" s="7">
        <v>11935301.917284176</v>
      </c>
      <c r="DX44" s="7">
        <v>11664466.963048954</v>
      </c>
      <c r="DY44" s="7">
        <v>11413559.100182284</v>
      </c>
      <c r="DZ44" s="7">
        <v>11395760.931667348</v>
      </c>
      <c r="EA44" s="7">
        <v>10751233.614189047</v>
      </c>
      <c r="EB44" s="7">
        <v>10900244.360642482</v>
      </c>
      <c r="EC44" s="7">
        <v>13895297.733994164</v>
      </c>
      <c r="ED44" s="7">
        <v>14523099.029595556</v>
      </c>
      <c r="EE44" s="7">
        <v>15202387.194647143</v>
      </c>
      <c r="EF44" s="7">
        <v>15258535.781154161</v>
      </c>
      <c r="EG44" s="7">
        <v>14942513.693089606</v>
      </c>
      <c r="EH44" s="7">
        <v>15052025.185254984</v>
      </c>
      <c r="EI44" s="7">
        <v>12099298.769795127</v>
      </c>
    </row>
    <row r="45" spans="1:139" x14ac:dyDescent="0.3">
      <c r="A45" s="5" t="s">
        <v>15</v>
      </c>
      <c r="B45" s="6">
        <v>253581753.45999998</v>
      </c>
      <c r="C45" s="6">
        <v>261226575.05000001</v>
      </c>
      <c r="D45" s="6">
        <v>284838345.56</v>
      </c>
      <c r="E45" s="6">
        <v>281121954.31000006</v>
      </c>
      <c r="F45" s="6">
        <v>266297252.64999995</v>
      </c>
      <c r="G45" s="6">
        <v>276482022.77000004</v>
      </c>
      <c r="H45" s="6">
        <v>266984979.44000006</v>
      </c>
      <c r="I45" s="6">
        <v>231942962.81000003</v>
      </c>
      <c r="J45" s="6">
        <v>272755256.59000003</v>
      </c>
      <c r="K45" s="6">
        <v>250358023.03000003</v>
      </c>
      <c r="L45" s="6">
        <v>252880660.31999999</v>
      </c>
      <c r="M45" s="6">
        <v>260620655.46999997</v>
      </c>
      <c r="N45" s="6">
        <v>268779018.07999998</v>
      </c>
      <c r="O45" s="6">
        <v>252598179.11999997</v>
      </c>
      <c r="P45" s="6">
        <v>260619968.29999998</v>
      </c>
      <c r="Q45" s="6">
        <v>250462396.63000003</v>
      </c>
      <c r="R45" s="6">
        <v>270568281.82000005</v>
      </c>
      <c r="S45" s="6">
        <v>265490260.47000006</v>
      </c>
      <c r="T45" s="6">
        <v>249837840.91000006</v>
      </c>
      <c r="U45" s="6">
        <v>230246402.25</v>
      </c>
      <c r="V45" s="6">
        <v>253489960.16999999</v>
      </c>
      <c r="W45" s="6">
        <v>258191136.55999985</v>
      </c>
      <c r="X45" s="6">
        <v>202895436.26000008</v>
      </c>
      <c r="Y45" s="6">
        <v>166369187.25000003</v>
      </c>
      <c r="Z45" s="6">
        <v>209259838.72000003</v>
      </c>
      <c r="AA45" s="6">
        <v>243953274.30000007</v>
      </c>
      <c r="AB45" s="6">
        <v>274830111.4000001</v>
      </c>
      <c r="AC45" s="6">
        <v>272446496.34999996</v>
      </c>
      <c r="AD45" s="6">
        <v>278374270.79000008</v>
      </c>
      <c r="AE45" s="6">
        <v>291472124.78999996</v>
      </c>
      <c r="AF45" s="6">
        <v>291356168.86999995</v>
      </c>
      <c r="AG45" s="6">
        <v>280871178.05999994</v>
      </c>
      <c r="AH45" s="6">
        <v>277148823.86999995</v>
      </c>
      <c r="AI45" s="6">
        <v>264010621.41999999</v>
      </c>
      <c r="AJ45" s="6">
        <v>285739285.19999999</v>
      </c>
      <c r="AK45" s="6">
        <v>279632663.42000002</v>
      </c>
      <c r="AL45" s="6">
        <v>293317663.28999984</v>
      </c>
      <c r="AM45" s="6">
        <v>300818201.3900001</v>
      </c>
      <c r="AN45" s="6">
        <v>302581824.93000001</v>
      </c>
      <c r="AO45" s="6">
        <v>305662609.69000006</v>
      </c>
      <c r="AP45" s="6">
        <v>315910604.72000003</v>
      </c>
      <c r="AQ45" s="6">
        <v>307432944.05000007</v>
      </c>
      <c r="AR45" s="6">
        <v>291558368.97000021</v>
      </c>
      <c r="AS45" s="6">
        <v>273054956.28999996</v>
      </c>
      <c r="AT45" s="6">
        <v>274327364.25000006</v>
      </c>
      <c r="AU45" s="6">
        <v>261941580.46000007</v>
      </c>
      <c r="AV45" s="6">
        <v>277196407.52999991</v>
      </c>
      <c r="AW45" s="6">
        <v>271952378.42999995</v>
      </c>
      <c r="AX45" s="6">
        <v>297153989.31000018</v>
      </c>
      <c r="AY45" s="6">
        <v>297707353.50999999</v>
      </c>
      <c r="AZ45" s="6">
        <v>289496245.01000005</v>
      </c>
      <c r="BA45" s="6">
        <v>311740543.57999998</v>
      </c>
      <c r="BB45" s="6">
        <v>282712580.59000015</v>
      </c>
      <c r="BC45" s="6">
        <v>265670374.17999998</v>
      </c>
      <c r="BD45" s="6">
        <v>264443150.15999997</v>
      </c>
      <c r="BE45" s="6">
        <v>225439341.92000005</v>
      </c>
      <c r="BF45" s="6">
        <v>249917702.65000007</v>
      </c>
      <c r="BG45" s="6">
        <v>241640697.17000002</v>
      </c>
      <c r="BH45" s="6">
        <v>250891931.0200001</v>
      </c>
      <c r="BI45" s="6">
        <v>255757581.11999997</v>
      </c>
      <c r="BJ45" s="6">
        <v>273824592.55000001</v>
      </c>
      <c r="BK45" s="6">
        <v>265778874.72999999</v>
      </c>
      <c r="BL45" s="6">
        <v>261807511.31999993</v>
      </c>
      <c r="BM45" s="6">
        <v>269085876.47999996</v>
      </c>
      <c r="BN45" s="6">
        <v>263896155.51999995</v>
      </c>
      <c r="BO45" s="6">
        <v>279746914.17999995</v>
      </c>
      <c r="BP45" s="6">
        <v>249994328.93000004</v>
      </c>
      <c r="BQ45" s="6">
        <v>233450358.01999998</v>
      </c>
      <c r="BR45" s="6">
        <v>259404160.83999997</v>
      </c>
      <c r="BS45" s="6">
        <v>241222554.13</v>
      </c>
      <c r="BT45" s="6">
        <v>249795497.18999994</v>
      </c>
      <c r="BU45" s="6">
        <v>261171930.32999995</v>
      </c>
      <c r="BV45" s="6">
        <v>265574621.69000003</v>
      </c>
      <c r="BW45" s="6">
        <v>271355339.04000002</v>
      </c>
      <c r="BX45" s="6">
        <v>275586461.73000002</v>
      </c>
      <c r="BY45" s="6">
        <v>265598622.55999991</v>
      </c>
      <c r="BZ45" s="6">
        <v>256561677.55000001</v>
      </c>
      <c r="CA45" s="6">
        <v>265525834.85000005</v>
      </c>
      <c r="CB45" s="7">
        <v>133924386.98652144</v>
      </c>
      <c r="CC45" s="7">
        <v>144096981.44196418</v>
      </c>
      <c r="CD45" s="7">
        <v>137770446.9718571</v>
      </c>
      <c r="CE45" s="7">
        <v>137955180.68942207</v>
      </c>
      <c r="CF45" s="7">
        <v>135785629.47499245</v>
      </c>
      <c r="CG45" s="7">
        <v>168451784.42352015</v>
      </c>
      <c r="CH45" s="7">
        <v>171916340.62770054</v>
      </c>
      <c r="CI45" s="7">
        <v>177030206.80605313</v>
      </c>
      <c r="CJ45" s="7">
        <v>177607489.82265887</v>
      </c>
      <c r="CK45" s="7">
        <v>175628350.77151501</v>
      </c>
      <c r="CL45" s="7">
        <v>177217246.94675335</v>
      </c>
      <c r="CM45" s="7">
        <v>146560415.96806321</v>
      </c>
      <c r="CN45" s="7">
        <v>63183099.742399514</v>
      </c>
      <c r="CO45" s="7">
        <v>67982345.530113354</v>
      </c>
      <c r="CP45" s="7">
        <v>64997601.172174029</v>
      </c>
      <c r="CQ45" s="7">
        <v>65084755.193673231</v>
      </c>
      <c r="CR45" s="7">
        <v>64061200.232086226</v>
      </c>
      <c r="CS45" s="7">
        <v>79472500.38999714</v>
      </c>
      <c r="CT45" s="7">
        <v>81107015.246756688</v>
      </c>
      <c r="CU45" s="7">
        <v>83519644.672110394</v>
      </c>
      <c r="CV45" s="7">
        <v>83791996.341873541</v>
      </c>
      <c r="CW45" s="7">
        <v>82858274.389611885</v>
      </c>
      <c r="CX45" s="7">
        <v>83607886.822263956</v>
      </c>
      <c r="CY45" s="7">
        <v>69144549.314455092</v>
      </c>
      <c r="CZ45" s="7">
        <v>41315716.455580041</v>
      </c>
      <c r="DA45" s="7">
        <v>44453965.116602302</v>
      </c>
      <c r="DB45" s="7">
        <v>42502227.197953463</v>
      </c>
      <c r="DC45" s="7">
        <v>42559217.609232821</v>
      </c>
      <c r="DD45" s="7">
        <v>41889910.361851096</v>
      </c>
      <c r="DE45" s="7">
        <v>51967429.668945193</v>
      </c>
      <c r="DF45" s="7">
        <v>53036246.372140177</v>
      </c>
      <c r="DG45" s="7">
        <v>54613875.732787237</v>
      </c>
      <c r="DH45" s="7">
        <v>54791967.729064994</v>
      </c>
      <c r="DI45" s="7">
        <v>54181402.695293665</v>
      </c>
      <c r="DJ45" s="7">
        <v>54671577.676345579</v>
      </c>
      <c r="DK45" s="7">
        <v>45213935.460147232</v>
      </c>
      <c r="DL45" s="7">
        <v>43953948.482647404</v>
      </c>
      <c r="DM45" s="7">
        <v>47292591.299615443</v>
      </c>
      <c r="DN45" s="7">
        <v>45216224.355327941</v>
      </c>
      <c r="DO45" s="7">
        <v>45276853.912704043</v>
      </c>
      <c r="DP45" s="7">
        <v>44564807.776408464</v>
      </c>
      <c r="DQ45" s="7">
        <v>55285831.213896871</v>
      </c>
      <c r="DR45" s="7">
        <v>56422897.646234617</v>
      </c>
      <c r="DS45" s="7">
        <v>58101267.177043721</v>
      </c>
      <c r="DT45" s="7">
        <v>58290731.310819045</v>
      </c>
      <c r="DU45" s="7">
        <v>57641178.3962873</v>
      </c>
      <c r="DV45" s="7">
        <v>58162653.701884411</v>
      </c>
      <c r="DW45" s="7">
        <v>48101089.861280881</v>
      </c>
      <c r="DX45" s="7">
        <v>42935075.138185188</v>
      </c>
      <c r="DY45" s="7">
        <v>46196326.633319378</v>
      </c>
      <c r="DZ45" s="7">
        <v>44168090.858264424</v>
      </c>
      <c r="EA45" s="7">
        <v>44227314.993783571</v>
      </c>
      <c r="EB45" s="7">
        <v>43531774.4241855</v>
      </c>
      <c r="EC45" s="7">
        <v>54004279.460417546</v>
      </c>
      <c r="ED45" s="7">
        <v>55114988.154286161</v>
      </c>
      <c r="EE45" s="7">
        <v>56754452.284417219</v>
      </c>
      <c r="EF45" s="7">
        <v>56939524.549832612</v>
      </c>
      <c r="EG45" s="7">
        <v>56305028.579518192</v>
      </c>
      <c r="EH45" s="7">
        <v>56814415.840536594</v>
      </c>
      <c r="EI45" s="7">
        <v>46986083.815382883</v>
      </c>
    </row>
    <row r="46" spans="1:139" x14ac:dyDescent="0.3">
      <c r="A46" s="5" t="s">
        <v>16</v>
      </c>
      <c r="B46" s="6">
        <v>20620848.449999999</v>
      </c>
      <c r="C46" s="6">
        <v>17670876.219999999</v>
      </c>
      <c r="D46" s="6">
        <v>20261595.350000005</v>
      </c>
      <c r="E46" s="6">
        <v>20551221.23</v>
      </c>
      <c r="F46" s="6">
        <v>19693155.399999995</v>
      </c>
      <c r="G46" s="6">
        <v>22145886.229999997</v>
      </c>
      <c r="H46" s="6">
        <v>21656172.350000001</v>
      </c>
      <c r="I46" s="6">
        <v>18226771.469999999</v>
      </c>
      <c r="J46" s="6">
        <v>20092677.339999996</v>
      </c>
      <c r="K46" s="6">
        <v>18332525.209999997</v>
      </c>
      <c r="L46" s="6">
        <v>19462348.469999999</v>
      </c>
      <c r="M46" s="6">
        <v>20081056.079999998</v>
      </c>
      <c r="N46" s="6">
        <v>17396800.979999997</v>
      </c>
      <c r="O46" s="6">
        <v>17489577.849999998</v>
      </c>
      <c r="P46" s="6">
        <v>18694354.170000006</v>
      </c>
      <c r="Q46" s="6">
        <v>17276681.819999997</v>
      </c>
      <c r="R46" s="6">
        <v>17865420.310000002</v>
      </c>
      <c r="S46" s="6">
        <v>18138549.469999999</v>
      </c>
      <c r="T46" s="6">
        <v>17848026.339999996</v>
      </c>
      <c r="U46" s="6">
        <v>15668460.890000001</v>
      </c>
      <c r="V46" s="6">
        <v>17142240.129999999</v>
      </c>
      <c r="W46" s="6">
        <v>14182273.030000001</v>
      </c>
      <c r="X46" s="6">
        <v>9748798.9499999993</v>
      </c>
      <c r="Y46" s="6">
        <v>8958901.3599999994</v>
      </c>
      <c r="Z46" s="6">
        <v>10851497.209999999</v>
      </c>
      <c r="AA46" s="6">
        <v>12843367.200000001</v>
      </c>
      <c r="AB46" s="6">
        <v>12629822.02</v>
      </c>
      <c r="AC46" s="6">
        <v>12959327.870000003</v>
      </c>
      <c r="AD46" s="6">
        <v>14757014.949999997</v>
      </c>
      <c r="AE46" s="6">
        <v>14338155.109999999</v>
      </c>
      <c r="AF46" s="6">
        <v>14711509.199999999</v>
      </c>
      <c r="AG46" s="6">
        <v>12070989.829999998</v>
      </c>
      <c r="AH46" s="6">
        <v>13928900.109999999</v>
      </c>
      <c r="AI46" s="6">
        <v>13862641.41</v>
      </c>
      <c r="AJ46" s="6">
        <v>13930569.989999998</v>
      </c>
      <c r="AK46" s="6">
        <v>15208677.24</v>
      </c>
      <c r="AL46" s="6">
        <v>16569174.67</v>
      </c>
      <c r="AM46" s="6">
        <v>16928065.27</v>
      </c>
      <c r="AN46" s="6">
        <v>17647883.23</v>
      </c>
      <c r="AO46" s="6">
        <v>20057742.710000001</v>
      </c>
      <c r="AP46" s="6">
        <v>18413309.030000001</v>
      </c>
      <c r="AQ46" s="6">
        <v>20546833.029999997</v>
      </c>
      <c r="AR46" s="6">
        <v>23103177.990000002</v>
      </c>
      <c r="AS46" s="6">
        <v>18174909.690000005</v>
      </c>
      <c r="AT46" s="6">
        <v>18562359.230000004</v>
      </c>
      <c r="AU46" s="6">
        <v>22211549.390000001</v>
      </c>
      <c r="AV46" s="6">
        <v>21708211.780000001</v>
      </c>
      <c r="AW46" s="6">
        <v>20397312.870000001</v>
      </c>
      <c r="AX46" s="6">
        <v>20605658.649999999</v>
      </c>
      <c r="AY46" s="6">
        <v>19380323.439999998</v>
      </c>
      <c r="AZ46" s="6">
        <v>18545675.309999999</v>
      </c>
      <c r="BA46" s="6">
        <v>16576572.849999998</v>
      </c>
      <c r="BB46" s="6">
        <v>14080049.889999999</v>
      </c>
      <c r="BC46" s="6">
        <v>14885520.849999996</v>
      </c>
      <c r="BD46" s="6">
        <v>14632084.039999999</v>
      </c>
      <c r="BE46" s="6">
        <v>12551577.9</v>
      </c>
      <c r="BF46" s="6">
        <v>12240274.309999997</v>
      </c>
      <c r="BG46" s="6">
        <v>14540000.270000001</v>
      </c>
      <c r="BH46" s="6">
        <v>12692853.210000001</v>
      </c>
      <c r="BI46" s="6">
        <v>13776148.340000002</v>
      </c>
      <c r="BJ46" s="6">
        <v>13816795.16</v>
      </c>
      <c r="BK46" s="6">
        <v>12641052.1</v>
      </c>
      <c r="BL46" s="6">
        <v>12795938.259999998</v>
      </c>
      <c r="BM46" s="6">
        <v>13278045.610000001</v>
      </c>
      <c r="BN46" s="6">
        <v>12361609.77</v>
      </c>
      <c r="BO46" s="6">
        <v>12982267.959999997</v>
      </c>
      <c r="BP46" s="6">
        <v>12083377.979999999</v>
      </c>
      <c r="BQ46" s="6">
        <v>9954345.3800000008</v>
      </c>
      <c r="BR46" s="6">
        <v>11115274.5</v>
      </c>
      <c r="BS46" s="6">
        <v>10088064.830000002</v>
      </c>
      <c r="BT46" s="6">
        <v>10573836.109999999</v>
      </c>
      <c r="BU46" s="6">
        <v>10618209.539999999</v>
      </c>
      <c r="BV46" s="6">
        <v>10207115.949999997</v>
      </c>
      <c r="BW46" s="6">
        <v>10144373.619999999</v>
      </c>
      <c r="BX46" s="6">
        <v>10441517.139999997</v>
      </c>
      <c r="BY46" s="6">
        <v>9418699.9700000007</v>
      </c>
      <c r="BZ46" s="6">
        <v>10329769.949999999</v>
      </c>
      <c r="CA46" s="6">
        <v>9691020.3700000029</v>
      </c>
      <c r="CB46" s="7">
        <v>8803217.1520533636</v>
      </c>
      <c r="CC46" s="7">
        <v>9456970.4880055506</v>
      </c>
      <c r="CD46" s="7">
        <v>9470719.6725130454</v>
      </c>
      <c r="CE46" s="7">
        <v>8952522.6912302021</v>
      </c>
      <c r="CF46" s="7">
        <v>9046367.9641278908</v>
      </c>
      <c r="CG46" s="7">
        <v>11182740.657123623</v>
      </c>
      <c r="CH46" s="7">
        <v>10880966.950321022</v>
      </c>
      <c r="CI46" s="7">
        <v>11279146.975032233</v>
      </c>
      <c r="CJ46" s="7">
        <v>11187861.325781424</v>
      </c>
      <c r="CK46" s="7">
        <v>10921880.045405399</v>
      </c>
      <c r="CL46" s="7">
        <v>11453027.602725195</v>
      </c>
      <c r="CM46" s="7">
        <v>10569741.281395059</v>
      </c>
      <c r="CN46" s="7">
        <v>9273572.5133752692</v>
      </c>
      <c r="CO46" s="7">
        <v>9962255.8506253865</v>
      </c>
      <c r="CP46" s="7">
        <v>9976739.6532316059</v>
      </c>
      <c r="CQ46" s="7">
        <v>9430855.4385024793</v>
      </c>
      <c r="CR46" s="7">
        <v>9529714.8586692568</v>
      </c>
      <c r="CS46" s="7">
        <v>11780233.815760935</v>
      </c>
      <c r="CT46" s="7">
        <v>11462336.358010368</v>
      </c>
      <c r="CU46" s="7">
        <v>11881791.117419053</v>
      </c>
      <c r="CV46" s="7">
        <v>11785628.081436185</v>
      </c>
      <c r="CW46" s="7">
        <v>11505435.437296746</v>
      </c>
      <c r="CX46" s="7">
        <v>12064962.176559148</v>
      </c>
      <c r="CY46" s="7">
        <v>11134481.920370437</v>
      </c>
      <c r="CZ46" s="7">
        <v>10013802.02371937</v>
      </c>
      <c r="DA46" s="7">
        <v>10757457.026827449</v>
      </c>
      <c r="DB46" s="7">
        <v>10773096.946787111</v>
      </c>
      <c r="DC46" s="7">
        <v>10183639.491606073</v>
      </c>
      <c r="DD46" s="7">
        <v>10290390.008766746</v>
      </c>
      <c r="DE46" s="7">
        <v>12720548.532295778</v>
      </c>
      <c r="DF46" s="7">
        <v>12377276.055462657</v>
      </c>
      <c r="DG46" s="7">
        <v>12830212.279616537</v>
      </c>
      <c r="DH46" s="7">
        <v>12726373.375791354</v>
      </c>
      <c r="DI46" s="7">
        <v>12423815.363453826</v>
      </c>
      <c r="DJ46" s="7">
        <v>13028004.308530787</v>
      </c>
      <c r="DK46" s="7">
        <v>12023251.818698566</v>
      </c>
      <c r="DL46" s="7">
        <v>11161413.190649491</v>
      </c>
      <c r="DM46" s="7">
        <v>11990293.244531363</v>
      </c>
      <c r="DN46" s="7">
        <v>12007725.545322314</v>
      </c>
      <c r="DO46" s="7">
        <v>11350714.531922966</v>
      </c>
      <c r="DP46" s="7">
        <v>11469698.972350642</v>
      </c>
      <c r="DQ46" s="7">
        <v>14178360.810845001</v>
      </c>
      <c r="DR46" s="7">
        <v>13795748.298450926</v>
      </c>
      <c r="DS46" s="7">
        <v>14300592.346178204</v>
      </c>
      <c r="DT46" s="7">
        <v>14184853.198538603</v>
      </c>
      <c r="DU46" s="7">
        <v>13847621.148030531</v>
      </c>
      <c r="DV46" s="7">
        <v>14521051.923399692</v>
      </c>
      <c r="DW46" s="7">
        <v>13401151.842812128</v>
      </c>
      <c r="DX46" s="7">
        <v>12926643.51453091</v>
      </c>
      <c r="DY46" s="7">
        <v>13886614.872083763</v>
      </c>
      <c r="DZ46" s="7">
        <v>13906804.173753148</v>
      </c>
      <c r="EA46" s="7">
        <v>13145883.7589038</v>
      </c>
      <c r="EB46" s="7">
        <v>13283686.151747119</v>
      </c>
      <c r="EC46" s="7">
        <v>16420735.680292794</v>
      </c>
      <c r="ED46" s="7">
        <v>15977611.188130757</v>
      </c>
      <c r="EE46" s="7">
        <v>16562298.711469688</v>
      </c>
      <c r="EF46" s="7">
        <v>16428254.869829085</v>
      </c>
      <c r="EG46" s="7">
        <v>16037687.974389341</v>
      </c>
      <c r="EH46" s="7">
        <v>16817625.014279965</v>
      </c>
      <c r="EI46" s="7">
        <v>15520607.435378963</v>
      </c>
    </row>
    <row r="47" spans="1:139" x14ac:dyDescent="0.3">
      <c r="A47" s="5" t="s">
        <v>17</v>
      </c>
      <c r="B47" s="6">
        <v>20591099.263</v>
      </c>
      <c r="C47" s="6">
        <v>17647573.577000007</v>
      </c>
      <c r="D47" s="6">
        <v>20233846.647999991</v>
      </c>
      <c r="E47" s="6">
        <v>20523555.590000015</v>
      </c>
      <c r="F47" s="6">
        <v>19662794.679999985</v>
      </c>
      <c r="G47" s="6">
        <v>22113873.875</v>
      </c>
      <c r="H47" s="6">
        <v>21627163.609999999</v>
      </c>
      <c r="I47" s="6">
        <v>18206082.428000007</v>
      </c>
      <c r="J47" s="6">
        <v>20064102.054999989</v>
      </c>
      <c r="K47" s="6">
        <v>18302871.742999993</v>
      </c>
      <c r="L47" s="6">
        <v>19430675.662</v>
      </c>
      <c r="M47" s="6">
        <v>20061028.308999989</v>
      </c>
      <c r="N47" s="6">
        <v>17379636.270000003</v>
      </c>
      <c r="O47" s="6">
        <v>17489577.844999999</v>
      </c>
      <c r="P47" s="6">
        <v>18691791.047999993</v>
      </c>
      <c r="Q47" s="6">
        <v>17254390.656000003</v>
      </c>
      <c r="R47" s="6">
        <v>17841114.304000005</v>
      </c>
      <c r="S47" s="6">
        <v>18112592.180000007</v>
      </c>
      <c r="T47" s="6">
        <v>17833543.25</v>
      </c>
      <c r="U47" s="6">
        <v>15668460.892999997</v>
      </c>
      <c r="V47" s="6">
        <v>17094194.284000002</v>
      </c>
      <c r="W47" s="6">
        <v>14150106.956999989</v>
      </c>
      <c r="X47" s="6">
        <v>9739330.2329999991</v>
      </c>
      <c r="Y47" s="6">
        <v>8944842.3729999941</v>
      </c>
      <c r="Z47" s="6">
        <v>10834767.229000002</v>
      </c>
      <c r="AA47" s="6">
        <v>12824282.522999991</v>
      </c>
      <c r="AB47" s="6">
        <v>12612498.981999999</v>
      </c>
      <c r="AC47" s="6">
        <v>12942774.971999988</v>
      </c>
      <c r="AD47" s="6">
        <v>14734341.919000003</v>
      </c>
      <c r="AE47" s="6">
        <v>14315364.717000006</v>
      </c>
      <c r="AF47" s="6">
        <v>14687191.962999996</v>
      </c>
      <c r="AG47" s="6">
        <v>12050495.536000006</v>
      </c>
      <c r="AH47" s="6">
        <v>13904675.049000006</v>
      </c>
      <c r="AI47" s="6">
        <v>13841055.555000002</v>
      </c>
      <c r="AJ47" s="6">
        <v>13902952.92</v>
      </c>
      <c r="AK47" s="6">
        <v>15184228.751</v>
      </c>
      <c r="AL47" s="6">
        <v>16544795.397</v>
      </c>
      <c r="AM47" s="6">
        <v>16874178.391999986</v>
      </c>
      <c r="AN47" s="6">
        <v>17580835.143000007</v>
      </c>
      <c r="AO47" s="6">
        <v>20007504.243000008</v>
      </c>
      <c r="AP47" s="6">
        <v>18359349.177000005</v>
      </c>
      <c r="AQ47" s="6">
        <v>20496403.832000006</v>
      </c>
      <c r="AR47" s="6">
        <v>23047792.003000002</v>
      </c>
      <c r="AS47" s="6">
        <v>18135171.988000002</v>
      </c>
      <c r="AT47" s="6">
        <v>18518072.378999997</v>
      </c>
      <c r="AU47" s="6">
        <v>22146379.740999993</v>
      </c>
      <c r="AV47" s="6">
        <v>21647958.641999982</v>
      </c>
      <c r="AW47" s="6">
        <v>20327408.498000003</v>
      </c>
      <c r="AX47" s="6">
        <v>20523565.898999996</v>
      </c>
      <c r="AY47" s="6">
        <v>19309941.605999999</v>
      </c>
      <c r="AZ47" s="6">
        <v>18456596.680999994</v>
      </c>
      <c r="BA47" s="6">
        <v>16486779.053999996</v>
      </c>
      <c r="BB47" s="6">
        <v>13997677.366000006</v>
      </c>
      <c r="BC47" s="6">
        <v>14802189.123999996</v>
      </c>
      <c r="BD47" s="6">
        <v>14552063.589</v>
      </c>
      <c r="BE47" s="6">
        <v>12498335.045000004</v>
      </c>
      <c r="BF47" s="6">
        <v>12180143.532000002</v>
      </c>
      <c r="BG47" s="6">
        <v>14451778.989</v>
      </c>
      <c r="BH47" s="6">
        <v>12616961.622999998</v>
      </c>
      <c r="BI47" s="6">
        <v>13710659.290999999</v>
      </c>
      <c r="BJ47" s="6">
        <v>13748806.382000003</v>
      </c>
      <c r="BK47" s="6">
        <v>12582972.863999998</v>
      </c>
      <c r="BL47" s="6">
        <v>12722367.255000003</v>
      </c>
      <c r="BM47" s="6">
        <v>13199969.661000002</v>
      </c>
      <c r="BN47" s="6">
        <v>12274895.944999993</v>
      </c>
      <c r="BO47" s="6">
        <v>12901266.992999986</v>
      </c>
      <c r="BP47" s="6">
        <v>11995781.851000007</v>
      </c>
      <c r="BQ47" s="6">
        <v>9902028.4420000054</v>
      </c>
      <c r="BR47" s="6">
        <v>11024719.851000002</v>
      </c>
      <c r="BS47" s="6">
        <v>10005671.066000005</v>
      </c>
      <c r="BT47" s="6">
        <v>10476613.237000003</v>
      </c>
      <c r="BU47" s="6">
        <v>10527466.579000002</v>
      </c>
      <c r="BV47" s="6">
        <v>10118460.41</v>
      </c>
      <c r="BW47" s="6">
        <v>10062696.429000005</v>
      </c>
      <c r="BX47" s="6">
        <v>10325229.896999996</v>
      </c>
      <c r="BY47" s="6">
        <v>9307213.7459999993</v>
      </c>
      <c r="BZ47" s="6">
        <v>10213135.539000001</v>
      </c>
      <c r="CA47" s="6">
        <v>9587940.9689999986</v>
      </c>
      <c r="CB47" s="7">
        <v>8726053.500481246</v>
      </c>
      <c r="CC47" s="7">
        <v>9374076.4319962598</v>
      </c>
      <c r="CD47" s="7">
        <v>9387705.0995081626</v>
      </c>
      <c r="CE47" s="7">
        <v>8874050.318039177</v>
      </c>
      <c r="CF47" s="7">
        <v>8967073.0003072713</v>
      </c>
      <c r="CG47" s="7">
        <v>11084719.54861486</v>
      </c>
      <c r="CH47" s="7">
        <v>10785591.006729031</v>
      </c>
      <c r="CI47" s="7">
        <v>11180280.827329731</v>
      </c>
      <c r="CJ47" s="7">
        <v>11089795.332603188</v>
      </c>
      <c r="CK47" s="7">
        <v>10826145.482486026</v>
      </c>
      <c r="CL47" s="7">
        <v>11352637.323112881</v>
      </c>
      <c r="CM47" s="7">
        <v>10477093.352875568</v>
      </c>
      <c r="CN47" s="7">
        <v>9188163.1633069701</v>
      </c>
      <c r="CO47" s="7">
        <v>9870503.7457932103</v>
      </c>
      <c r="CP47" s="7">
        <v>9884854.1529722251</v>
      </c>
      <c r="CQ47" s="7">
        <v>9343997.5169809945</v>
      </c>
      <c r="CR47" s="7">
        <v>9441946.4445827529</v>
      </c>
      <c r="CS47" s="7">
        <v>11671738.183424471</v>
      </c>
      <c r="CT47" s="7">
        <v>11356768.552594507</v>
      </c>
      <c r="CU47" s="7">
        <v>11772360.145102574</v>
      </c>
      <c r="CV47" s="7">
        <v>11677082.768059887</v>
      </c>
      <c r="CW47" s="7">
        <v>11399470.690535458</v>
      </c>
      <c r="CX47" s="7">
        <v>11953844.203780886</v>
      </c>
      <c r="CY47" s="7">
        <v>11031933.645388553</v>
      </c>
      <c r="CZ47" s="7">
        <v>9915415.8695956934</v>
      </c>
      <c r="DA47" s="7">
        <v>10651764.421509976</v>
      </c>
      <c r="DB47" s="7">
        <v>10667250.678398211</v>
      </c>
      <c r="DC47" s="7">
        <v>10083584.675045105</v>
      </c>
      <c r="DD47" s="7">
        <v>10189286.362519581</v>
      </c>
      <c r="DE47" s="7">
        <v>12595568.445264727</v>
      </c>
      <c r="DF47" s="7">
        <v>12255668.639344424</v>
      </c>
      <c r="DG47" s="7">
        <v>12704154.740253184</v>
      </c>
      <c r="DH47" s="7">
        <v>12601336.059353475</v>
      </c>
      <c r="DI47" s="7">
        <v>12301750.696081974</v>
      </c>
      <c r="DJ47" s="7">
        <v>12900003.451634783</v>
      </c>
      <c r="DK47" s="7">
        <v>11905122.710124193</v>
      </c>
      <c r="DL47" s="7">
        <v>11042908.512423599</v>
      </c>
      <c r="DM47" s="7">
        <v>11862988.053109221</v>
      </c>
      <c r="DN47" s="7">
        <v>11880235.268986581</v>
      </c>
      <c r="DO47" s="7">
        <v>11230199.974289142</v>
      </c>
      <c r="DP47" s="7">
        <v>11347921.114757758</v>
      </c>
      <c r="DQ47" s="7">
        <v>14027824.130860128</v>
      </c>
      <c r="DR47" s="7">
        <v>13649273.951066054</v>
      </c>
      <c r="DS47" s="7">
        <v>14148757.890677245</v>
      </c>
      <c r="DT47" s="7">
        <v>14034247.586573396</v>
      </c>
      <c r="DU47" s="7">
        <v>13700596.04822362</v>
      </c>
      <c r="DV47" s="7">
        <v>14366876.770460678</v>
      </c>
      <c r="DW47" s="7">
        <v>13258867.06579848</v>
      </c>
      <c r="DX47" s="7">
        <v>12777192.963835033</v>
      </c>
      <c r="DY47" s="7">
        <v>13726065.674792023</v>
      </c>
      <c r="DZ47" s="7">
        <v>13746021.559159443</v>
      </c>
      <c r="EA47" s="7">
        <v>12993898.476340415</v>
      </c>
      <c r="EB47" s="7">
        <v>13130107.675755406</v>
      </c>
      <c r="EC47" s="7">
        <v>16230888.409615565</v>
      </c>
      <c r="ED47" s="7">
        <v>15792887.072532881</v>
      </c>
      <c r="EE47" s="7">
        <v>16370814.768987922</v>
      </c>
      <c r="EF47" s="7">
        <v>16238320.666529657</v>
      </c>
      <c r="EG47" s="7">
        <v>15852269.284923142</v>
      </c>
      <c r="EH47" s="7">
        <v>16623189.133306259</v>
      </c>
      <c r="EI47" s="7">
        <v>15341166.939031675</v>
      </c>
    </row>
    <row r="48" spans="1:139" x14ac:dyDescent="0.3">
      <c r="A48" s="5" t="s">
        <v>18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4122.8492480907498</v>
      </c>
      <c r="CO48" s="7">
        <v>4429.0244114443676</v>
      </c>
      <c r="CP48" s="7">
        <v>4435.4636272480293</v>
      </c>
      <c r="CQ48" s="7">
        <v>4192.7741652316881</v>
      </c>
      <c r="CR48" s="7">
        <v>4236.7251329427208</v>
      </c>
      <c r="CS48" s="7">
        <v>5237.2619138518003</v>
      </c>
      <c r="CT48" s="7">
        <v>5095.9309119357049</v>
      </c>
      <c r="CU48" s="7">
        <v>5282.4123069905172</v>
      </c>
      <c r="CV48" s="7">
        <v>5239.6600990335219</v>
      </c>
      <c r="CW48" s="7">
        <v>5115.091920961403</v>
      </c>
      <c r="CX48" s="7">
        <v>5363.8465829783881</v>
      </c>
      <c r="CY48" s="7">
        <v>4950.1732311975147</v>
      </c>
      <c r="CZ48" s="7">
        <v>10611.251275782657</v>
      </c>
      <c r="DA48" s="7">
        <v>11399.274654094042</v>
      </c>
      <c r="DB48" s="7">
        <v>11415.847692010311</v>
      </c>
      <c r="DC48" s="7">
        <v>10791.221684975859</v>
      </c>
      <c r="DD48" s="7">
        <v>10904.341213275749</v>
      </c>
      <c r="DE48" s="7">
        <v>13479.489261147144</v>
      </c>
      <c r="DF48" s="7">
        <v>13115.736263124161</v>
      </c>
      <c r="DG48" s="7">
        <v>13595.695830431034</v>
      </c>
      <c r="DH48" s="7">
        <v>13485.661629826616</v>
      </c>
      <c r="DI48" s="7">
        <v>13165.052226244419</v>
      </c>
      <c r="DJ48" s="7">
        <v>13805.28864185117</v>
      </c>
      <c r="DK48" s="7">
        <v>12740.590027446375</v>
      </c>
      <c r="DL48" s="7">
        <v>20670.51332688587</v>
      </c>
      <c r="DM48" s="7">
        <v>22205.567706425252</v>
      </c>
      <c r="DN48" s="7">
        <v>22237.851665424241</v>
      </c>
      <c r="DO48" s="7">
        <v>21021.092221399773</v>
      </c>
      <c r="DP48" s="7">
        <v>21241.446886131005</v>
      </c>
      <c r="DQ48" s="7">
        <v>26257.785738054361</v>
      </c>
      <c r="DR48" s="7">
        <v>25549.201896440052</v>
      </c>
      <c r="DS48" s="7">
        <v>26484.153899228368</v>
      </c>
      <c r="DT48" s="7">
        <v>26269.809393486841</v>
      </c>
      <c r="DU48" s="7">
        <v>25645.26844376911</v>
      </c>
      <c r="DV48" s="7">
        <v>26892.436663351295</v>
      </c>
      <c r="DW48" s="7">
        <v>24818.424247077797</v>
      </c>
      <c r="DX48" s="7">
        <v>36143.44956188021</v>
      </c>
      <c r="DY48" s="7">
        <v>38827.570641227576</v>
      </c>
      <c r="DZ48" s="7">
        <v>38884.020794413649</v>
      </c>
      <c r="EA48" s="7">
        <v>36756.454686181685</v>
      </c>
      <c r="EB48" s="7">
        <v>37141.756085546498</v>
      </c>
      <c r="EC48" s="7">
        <v>45913.08108423277</v>
      </c>
      <c r="ED48" s="7">
        <v>44674.08600294283</v>
      </c>
      <c r="EE48" s="7">
        <v>46308.897389634665</v>
      </c>
      <c r="EF48" s="7">
        <v>45934.105060599541</v>
      </c>
      <c r="EG48" s="7">
        <v>44842.06327341804</v>
      </c>
      <c r="EH48" s="7">
        <v>47022.800680699431</v>
      </c>
      <c r="EI48" s="7">
        <v>43396.283913900392</v>
      </c>
    </row>
    <row r="49" spans="1:139" x14ac:dyDescent="0.3">
      <c r="A49" s="5" t="s">
        <v>19</v>
      </c>
      <c r="B49" s="6">
        <v>29749.194</v>
      </c>
      <c r="C49" s="6">
        <v>23302.639999999999</v>
      </c>
      <c r="D49" s="6">
        <v>27748.7</v>
      </c>
      <c r="E49" s="6">
        <v>27665.64</v>
      </c>
      <c r="F49" s="6">
        <v>30360.720000000001</v>
      </c>
      <c r="G49" s="6">
        <v>32012.35</v>
      </c>
      <c r="H49" s="6">
        <v>29008.74</v>
      </c>
      <c r="I49" s="6">
        <v>20689.04</v>
      </c>
      <c r="J49" s="6">
        <v>28575.29</v>
      </c>
      <c r="K49" s="6">
        <v>29653.46</v>
      </c>
      <c r="L49" s="6">
        <v>31672.81</v>
      </c>
      <c r="M49" s="6">
        <v>20027.77</v>
      </c>
      <c r="N49" s="6">
        <v>17164.71</v>
      </c>
      <c r="O49" s="6">
        <v>0</v>
      </c>
      <c r="P49" s="6">
        <v>2563.13</v>
      </c>
      <c r="Q49" s="6">
        <v>22291.17</v>
      </c>
      <c r="R49" s="6">
        <v>24306.01</v>
      </c>
      <c r="S49" s="6">
        <v>25957.29</v>
      </c>
      <c r="T49" s="6">
        <v>14483.09</v>
      </c>
      <c r="U49" s="6">
        <v>0</v>
      </c>
      <c r="V49" s="6">
        <v>48045.839999999989</v>
      </c>
      <c r="W49" s="6">
        <v>32166.080000000002</v>
      </c>
      <c r="X49" s="6">
        <v>9468.7000000000007</v>
      </c>
      <c r="Y49" s="6">
        <v>14058.98</v>
      </c>
      <c r="Z49" s="6">
        <v>16729.98</v>
      </c>
      <c r="AA49" s="6">
        <v>19084.68</v>
      </c>
      <c r="AB49" s="6">
        <v>17323.04</v>
      </c>
      <c r="AC49" s="6">
        <v>16552.900000000001</v>
      </c>
      <c r="AD49" s="6">
        <v>22673.03</v>
      </c>
      <c r="AE49" s="6">
        <v>22790.38</v>
      </c>
      <c r="AF49" s="6">
        <v>24317.24</v>
      </c>
      <c r="AG49" s="6">
        <v>20494.29</v>
      </c>
      <c r="AH49" s="6">
        <v>24225.06</v>
      </c>
      <c r="AI49" s="6">
        <v>21585.84</v>
      </c>
      <c r="AJ49" s="6">
        <v>27617.08</v>
      </c>
      <c r="AK49" s="6">
        <v>24448.49</v>
      </c>
      <c r="AL49" s="6">
        <v>24379.27</v>
      </c>
      <c r="AM49" s="6">
        <v>53886.866999999998</v>
      </c>
      <c r="AN49" s="6">
        <v>67048.081999999995</v>
      </c>
      <c r="AO49" s="6">
        <v>50238.477000000006</v>
      </c>
      <c r="AP49" s="6">
        <v>53959.86</v>
      </c>
      <c r="AQ49" s="6">
        <v>50429.19</v>
      </c>
      <c r="AR49" s="6">
        <v>55385.990000000005</v>
      </c>
      <c r="AS49" s="6">
        <v>39737.69</v>
      </c>
      <c r="AT49" s="6">
        <v>44286.850000000006</v>
      </c>
      <c r="AU49" s="6">
        <v>65169.64</v>
      </c>
      <c r="AV49" s="6">
        <v>60253.130000000005</v>
      </c>
      <c r="AW49" s="6">
        <v>69904.37</v>
      </c>
      <c r="AX49" s="6">
        <v>82092.75</v>
      </c>
      <c r="AY49" s="6">
        <v>70381.84</v>
      </c>
      <c r="AZ49" s="6">
        <v>89078.61</v>
      </c>
      <c r="BA49" s="6">
        <v>89793.799999999988</v>
      </c>
      <c r="BB49" s="6">
        <v>82372.509999999995</v>
      </c>
      <c r="BC49" s="6">
        <v>83331.72</v>
      </c>
      <c r="BD49" s="6">
        <v>80020.45</v>
      </c>
      <c r="BE49" s="6">
        <v>53242.86</v>
      </c>
      <c r="BF49" s="6">
        <v>60130.770000000004</v>
      </c>
      <c r="BG49" s="6">
        <v>88221.28</v>
      </c>
      <c r="BH49" s="6">
        <v>75891.600000000006</v>
      </c>
      <c r="BI49" s="6">
        <v>65489.04</v>
      </c>
      <c r="BJ49" s="6">
        <v>67988.759999999995</v>
      </c>
      <c r="BK49" s="6">
        <v>58079.22</v>
      </c>
      <c r="BL49" s="6">
        <v>73571</v>
      </c>
      <c r="BM49" s="6">
        <v>78075.929999999993</v>
      </c>
      <c r="BN49" s="6">
        <v>86713.84</v>
      </c>
      <c r="BO49" s="6">
        <v>81000.97</v>
      </c>
      <c r="BP49" s="6">
        <v>87596.13</v>
      </c>
      <c r="BQ49" s="6">
        <v>52316.93</v>
      </c>
      <c r="BR49" s="6">
        <v>90554.64</v>
      </c>
      <c r="BS49" s="6">
        <v>82393.75</v>
      </c>
      <c r="BT49" s="6">
        <v>97222.862999999998</v>
      </c>
      <c r="BU49" s="6">
        <v>90742.959000000003</v>
      </c>
      <c r="BV49" s="6">
        <v>88655.534</v>
      </c>
      <c r="BW49" s="6">
        <v>81677.192999999999</v>
      </c>
      <c r="BX49" s="6">
        <v>116287.226</v>
      </c>
      <c r="BY49" s="6">
        <v>111486.209</v>
      </c>
      <c r="BZ49" s="6">
        <v>116634.389</v>
      </c>
      <c r="CA49" s="6">
        <v>103079.38999999998</v>
      </c>
      <c r="CB49" s="7">
        <v>77163.651572121991</v>
      </c>
      <c r="CC49" s="7">
        <v>82894.056009295324</v>
      </c>
      <c r="CD49" s="7">
        <v>83014.573004890481</v>
      </c>
      <c r="CE49" s="7">
        <v>78472.373191029474</v>
      </c>
      <c r="CF49" s="7">
        <v>79294.963820624354</v>
      </c>
      <c r="CG49" s="7">
        <v>98021.108508770209</v>
      </c>
      <c r="CH49" s="7">
        <v>95375.943591997493</v>
      </c>
      <c r="CI49" s="7">
        <v>98866.14770250587</v>
      </c>
      <c r="CJ49" s="7">
        <v>98065.993178238408</v>
      </c>
      <c r="CK49" s="7">
        <v>95734.562919375006</v>
      </c>
      <c r="CL49" s="7">
        <v>100390.27961231703</v>
      </c>
      <c r="CM49" s="7">
        <v>92647.928519496156</v>
      </c>
      <c r="CN49" s="7">
        <v>81286.500820212736</v>
      </c>
      <c r="CO49" s="7">
        <v>87323.080420739716</v>
      </c>
      <c r="CP49" s="7">
        <v>87450.036632138494</v>
      </c>
      <c r="CQ49" s="7">
        <v>82665.147356261165</v>
      </c>
      <c r="CR49" s="7">
        <v>83531.688953567063</v>
      </c>
      <c r="CS49" s="7">
        <v>103258.37042262203</v>
      </c>
      <c r="CT49" s="7">
        <v>100471.87450393318</v>
      </c>
      <c r="CU49" s="7">
        <v>104148.56000949637</v>
      </c>
      <c r="CV49" s="7">
        <v>103305.65327727194</v>
      </c>
      <c r="CW49" s="7">
        <v>100849.65484033643</v>
      </c>
      <c r="CX49" s="7">
        <v>105754.12619529545</v>
      </c>
      <c r="CY49" s="7">
        <v>97598.101750693677</v>
      </c>
      <c r="CZ49" s="7">
        <v>87774.902847904654</v>
      </c>
      <c r="DA49" s="7">
        <v>94293.330663389381</v>
      </c>
      <c r="DB49" s="7">
        <v>94430.420696900808</v>
      </c>
      <c r="DC49" s="7">
        <v>89263.594876005358</v>
      </c>
      <c r="DD49" s="7">
        <v>90199.305033900135</v>
      </c>
      <c r="DE49" s="7">
        <v>111500.59776991737</v>
      </c>
      <c r="DF49" s="7">
        <v>108491.67985512165</v>
      </c>
      <c r="DG49" s="7">
        <v>112461.84353293692</v>
      </c>
      <c r="DH49" s="7">
        <v>111551.65480806504</v>
      </c>
      <c r="DI49" s="7">
        <v>108899.61514561945</v>
      </c>
      <c r="DJ49" s="7">
        <v>114195.56825416823</v>
      </c>
      <c r="DK49" s="7">
        <v>105388.51854694255</v>
      </c>
      <c r="DL49" s="7">
        <v>97834.164899007883</v>
      </c>
      <c r="DM49" s="7">
        <v>105099.62371572058</v>
      </c>
      <c r="DN49" s="7">
        <v>105252.42467031475</v>
      </c>
      <c r="DO49" s="7">
        <v>99493.465412429243</v>
      </c>
      <c r="DP49" s="7">
        <v>100536.41070675537</v>
      </c>
      <c r="DQ49" s="7">
        <v>124278.89424682461</v>
      </c>
      <c r="DR49" s="7">
        <v>120925.14548843754</v>
      </c>
      <c r="DS49" s="7">
        <v>125350.30160173423</v>
      </c>
      <c r="DT49" s="7">
        <v>124335.80257172529</v>
      </c>
      <c r="DU49" s="7">
        <v>121379.83136314413</v>
      </c>
      <c r="DV49" s="7">
        <v>127282.71627566834</v>
      </c>
      <c r="DW49" s="7">
        <v>117466.35276657397</v>
      </c>
      <c r="DX49" s="7">
        <v>113307.10113400219</v>
      </c>
      <c r="DY49" s="7">
        <v>121721.62665052289</v>
      </c>
      <c r="DZ49" s="7">
        <v>121898.59379930413</v>
      </c>
      <c r="EA49" s="7">
        <v>115228.82787721115</v>
      </c>
      <c r="EB49" s="7">
        <v>116436.71990617084</v>
      </c>
      <c r="EC49" s="7">
        <v>143934.18959300299</v>
      </c>
      <c r="ED49" s="7">
        <v>140050.02959494031</v>
      </c>
      <c r="EE49" s="7">
        <v>145175.04509214053</v>
      </c>
      <c r="EF49" s="7">
        <v>144000.09823883796</v>
      </c>
      <c r="EG49" s="7">
        <v>140576.62619279305</v>
      </c>
      <c r="EH49" s="7">
        <v>147413.08029301645</v>
      </c>
      <c r="EI49" s="7">
        <v>136044.21243339655</v>
      </c>
    </row>
    <row r="50" spans="1:139" x14ac:dyDescent="0.3">
      <c r="A50" s="5" t="s">
        <v>20</v>
      </c>
      <c r="B50" s="6">
        <v>27780115.950000003</v>
      </c>
      <c r="C50" s="6">
        <v>27041542.960000001</v>
      </c>
      <c r="D50" s="6">
        <v>27034222.5</v>
      </c>
      <c r="E50" s="6">
        <v>29449536.66</v>
      </c>
      <c r="F50" s="6">
        <v>30120140.860000003</v>
      </c>
      <c r="G50" s="6">
        <v>32544562.990000002</v>
      </c>
      <c r="H50" s="6">
        <v>28898612.75</v>
      </c>
      <c r="I50" s="6">
        <v>27883209.060000002</v>
      </c>
      <c r="J50" s="6">
        <v>29124962.920000002</v>
      </c>
      <c r="K50" s="6">
        <v>28517299.330000002</v>
      </c>
      <c r="L50" s="6">
        <v>30900619.940000005</v>
      </c>
      <c r="M50" s="6">
        <v>28845149.879999999</v>
      </c>
      <c r="N50" s="6">
        <v>27027083.200000003</v>
      </c>
      <c r="O50" s="6">
        <v>26931826.219999999</v>
      </c>
      <c r="P50" s="6">
        <v>27333876.759999998</v>
      </c>
      <c r="Q50" s="6">
        <v>26347043.179999996</v>
      </c>
      <c r="R50" s="6">
        <v>27120198.300000001</v>
      </c>
      <c r="S50" s="6">
        <v>28711328.219999995</v>
      </c>
      <c r="T50" s="6">
        <v>28791992.779999994</v>
      </c>
      <c r="U50" s="6">
        <v>30969981.27</v>
      </c>
      <c r="V50" s="6">
        <v>19363126.280000001</v>
      </c>
      <c r="W50" s="6">
        <v>28395001.899999999</v>
      </c>
      <c r="X50" s="6">
        <v>23490640.189999998</v>
      </c>
      <c r="Y50" s="6">
        <v>17037495.420000002</v>
      </c>
      <c r="Z50" s="6">
        <v>19375487.859999999</v>
      </c>
      <c r="AA50" s="6">
        <v>21591198.459999997</v>
      </c>
      <c r="AB50" s="6">
        <v>20615007.970000003</v>
      </c>
      <c r="AC50" s="6">
        <v>29526687.820000004</v>
      </c>
      <c r="AD50" s="6">
        <v>33332089.84</v>
      </c>
      <c r="AE50" s="6">
        <v>36681077.710000001</v>
      </c>
      <c r="AF50" s="6">
        <v>40625557.07</v>
      </c>
      <c r="AG50" s="6">
        <v>37157956.459999993</v>
      </c>
      <c r="AH50" s="6">
        <v>37003075.780000001</v>
      </c>
      <c r="AI50" s="6">
        <v>31256609.140000001</v>
      </c>
      <c r="AJ50" s="6">
        <v>31578364.34</v>
      </c>
      <c r="AK50" s="6">
        <v>29947424.350000001</v>
      </c>
      <c r="AL50" s="6">
        <v>35849039.699999988</v>
      </c>
      <c r="AM50" s="6">
        <v>36968870.5</v>
      </c>
      <c r="AN50" s="6">
        <v>37627187.989999995</v>
      </c>
      <c r="AO50" s="6">
        <v>36910438.610000007</v>
      </c>
      <c r="AP50" s="6">
        <v>38349183.510000005</v>
      </c>
      <c r="AQ50" s="6">
        <v>37132538.069999993</v>
      </c>
      <c r="AR50" s="6">
        <v>28522127.100000001</v>
      </c>
      <c r="AS50" s="6">
        <v>32690940.929999996</v>
      </c>
      <c r="AT50" s="6">
        <v>32323638.629999999</v>
      </c>
      <c r="AU50" s="6">
        <v>33339490.34</v>
      </c>
      <c r="AV50" s="6">
        <v>30929642.120000001</v>
      </c>
      <c r="AW50" s="6">
        <v>28980767.569999997</v>
      </c>
      <c r="AX50" s="6">
        <v>30163418.289999999</v>
      </c>
      <c r="AY50" s="6">
        <v>27438012.459999997</v>
      </c>
      <c r="AZ50" s="6">
        <v>27320796.43</v>
      </c>
      <c r="BA50" s="6">
        <v>27070300.399999995</v>
      </c>
      <c r="BB50" s="6">
        <v>26068668.099999998</v>
      </c>
      <c r="BC50" s="6">
        <v>30272798.399999999</v>
      </c>
      <c r="BD50" s="6">
        <v>28978353.800000001</v>
      </c>
      <c r="BE50" s="6">
        <v>28065078.57</v>
      </c>
      <c r="BF50" s="6">
        <v>25944806.680000003</v>
      </c>
      <c r="BG50" s="6">
        <v>24803034.07</v>
      </c>
      <c r="BH50" s="6">
        <v>26833824.160000004</v>
      </c>
      <c r="BI50" s="6">
        <v>24131733.77</v>
      </c>
      <c r="BJ50" s="6">
        <v>28091825.449999999</v>
      </c>
      <c r="BK50" s="6">
        <v>23902597.48</v>
      </c>
      <c r="BL50" s="6">
        <v>23002886.740000002</v>
      </c>
      <c r="BM50" s="6">
        <v>21723004.560000002</v>
      </c>
      <c r="BN50" s="6">
        <v>17686412.98</v>
      </c>
      <c r="BO50" s="6">
        <v>20794768.699999999</v>
      </c>
      <c r="BP50" s="6">
        <v>17643079.16</v>
      </c>
      <c r="BQ50" s="6">
        <v>14751252.780000001</v>
      </c>
      <c r="BR50" s="6">
        <v>23922381.889999997</v>
      </c>
      <c r="BS50" s="6">
        <v>15616072.899999999</v>
      </c>
      <c r="BT50" s="6">
        <v>15487216.070000002</v>
      </c>
      <c r="BU50" s="6">
        <v>16409517.710000003</v>
      </c>
      <c r="BV50" s="6">
        <v>13921021.810000002</v>
      </c>
      <c r="BW50" s="6">
        <v>13930802.57</v>
      </c>
      <c r="BX50" s="6">
        <v>15734508.25</v>
      </c>
      <c r="BY50" s="6">
        <v>15600763.869999995</v>
      </c>
      <c r="BZ50" s="6">
        <v>15883350.489999998</v>
      </c>
      <c r="CA50" s="6">
        <v>16789415.5</v>
      </c>
      <c r="CB50" s="7">
        <v>24746393.52218993</v>
      </c>
      <c r="CC50" s="7">
        <v>24192880.202432092</v>
      </c>
      <c r="CD50" s="7">
        <v>23362632.706411131</v>
      </c>
      <c r="CE50" s="7">
        <v>22972042.248614118</v>
      </c>
      <c r="CF50" s="7">
        <v>20971158.699722365</v>
      </c>
      <c r="CG50" s="7">
        <v>26288667.443430029</v>
      </c>
      <c r="CH50" s="7">
        <v>25653389.462174151</v>
      </c>
      <c r="CI50" s="7">
        <v>25777993.432898391</v>
      </c>
      <c r="CJ50" s="7">
        <v>26926346.393797595</v>
      </c>
      <c r="CK50" s="7">
        <v>27205130.962994721</v>
      </c>
      <c r="CL50" s="7">
        <v>29277897.934805855</v>
      </c>
      <c r="CM50" s="7">
        <v>25026481.589959338</v>
      </c>
      <c r="CN50" s="7">
        <v>10467094.807773056</v>
      </c>
      <c r="CO50" s="7">
        <v>10232972.757217476</v>
      </c>
      <c r="CP50" s="7">
        <v>9881799.191381501</v>
      </c>
      <c r="CQ50" s="7">
        <v>9716589.3659939431</v>
      </c>
      <c r="CR50" s="7">
        <v>8870266.5356880408</v>
      </c>
      <c r="CS50" s="7">
        <v>11119437.434536047</v>
      </c>
      <c r="CT50" s="7">
        <v>10850731.012602953</v>
      </c>
      <c r="CU50" s="7">
        <v>10903435.32177132</v>
      </c>
      <c r="CV50" s="7">
        <v>11389159.405312654</v>
      </c>
      <c r="CW50" s="7">
        <v>11507078.18463352</v>
      </c>
      <c r="CX50" s="7">
        <v>12383805.873818344</v>
      </c>
      <c r="CY50" s="7">
        <v>10585564.933823526</v>
      </c>
      <c r="CZ50" s="7">
        <v>4814700.6002587946</v>
      </c>
      <c r="DA50" s="7">
        <v>4707008.1031480711</v>
      </c>
      <c r="DB50" s="7">
        <v>4545473.731932682</v>
      </c>
      <c r="DC50" s="7">
        <v>4469479.7851814376</v>
      </c>
      <c r="DD50" s="7">
        <v>4080184.4636123111</v>
      </c>
      <c r="DE50" s="7">
        <v>5114768.04918624</v>
      </c>
      <c r="DF50" s="7">
        <v>4991167.2798482282</v>
      </c>
      <c r="DG50" s="7">
        <v>5015410.4412649684</v>
      </c>
      <c r="DH50" s="7">
        <v>5238835.9551764233</v>
      </c>
      <c r="DI50" s="7">
        <v>5293076.7572332006</v>
      </c>
      <c r="DJ50" s="7">
        <v>5696357.8403707072</v>
      </c>
      <c r="DK50" s="7">
        <v>4869195.0132246874</v>
      </c>
      <c r="DL50" s="7">
        <v>5055241.7141368305</v>
      </c>
      <c r="DM50" s="7">
        <v>4942168.9295768859</v>
      </c>
      <c r="DN50" s="7">
        <v>4772564.3457340188</v>
      </c>
      <c r="DO50" s="7">
        <v>4692773.7623656299</v>
      </c>
      <c r="DP50" s="7">
        <v>4284029.353916062</v>
      </c>
      <c r="DQ50" s="7">
        <v>5370300.4500405965</v>
      </c>
      <c r="DR50" s="7">
        <v>5240524.6203611065</v>
      </c>
      <c r="DS50" s="7">
        <v>5265978.9634348731</v>
      </c>
      <c r="DT50" s="7">
        <v>5500566.7543905424</v>
      </c>
      <c r="DU50" s="7">
        <v>5557517.4119560253</v>
      </c>
      <c r="DV50" s="7">
        <v>5980946.3067640262</v>
      </c>
      <c r="DW50" s="7">
        <v>5112458.652942488</v>
      </c>
      <c r="DX50" s="7">
        <v>5352724.8238411667</v>
      </c>
      <c r="DY50" s="7">
        <v>5232998.1055079363</v>
      </c>
      <c r="DZ50" s="7">
        <v>5053412.8912867848</v>
      </c>
      <c r="EA50" s="7">
        <v>4968926.9140662737</v>
      </c>
      <c r="EB50" s="7">
        <v>4536129.3416780159</v>
      </c>
      <c r="EC50" s="7">
        <v>5686323.6529385131</v>
      </c>
      <c r="ED50" s="7">
        <v>5548910.9743088428</v>
      </c>
      <c r="EE50" s="7">
        <v>5575863.2155171121</v>
      </c>
      <c r="EF50" s="7">
        <v>5824255.668939664</v>
      </c>
      <c r="EG50" s="7">
        <v>5884557.6714398321</v>
      </c>
      <c r="EH50" s="7">
        <v>6332903.8603138933</v>
      </c>
      <c r="EI50" s="7">
        <v>5413308.7772914618</v>
      </c>
    </row>
    <row r="51" spans="1:139" x14ac:dyDescent="0.3">
      <c r="A51" s="5" t="s">
        <v>21</v>
      </c>
      <c r="B51" s="6">
        <v>573388.98</v>
      </c>
      <c r="C51" s="6">
        <v>503104.22000000003</v>
      </c>
      <c r="D51" s="6">
        <v>444445.48999999993</v>
      </c>
      <c r="E51" s="6">
        <v>505325.46</v>
      </c>
      <c r="F51" s="6">
        <v>603130.40999999992</v>
      </c>
      <c r="G51" s="6">
        <v>682441.85</v>
      </c>
      <c r="H51" s="6">
        <v>858156.5199999999</v>
      </c>
      <c r="I51" s="6">
        <v>1162656.3500000001</v>
      </c>
      <c r="J51" s="6">
        <v>1104204.07</v>
      </c>
      <c r="K51" s="6">
        <v>1109633.7699999998</v>
      </c>
      <c r="L51" s="6">
        <v>902731.72</v>
      </c>
      <c r="M51" s="6">
        <v>898853.1399999999</v>
      </c>
      <c r="N51" s="6">
        <v>631758.5</v>
      </c>
      <c r="O51" s="6">
        <v>521118.76</v>
      </c>
      <c r="P51" s="6">
        <v>413305.68999999587</v>
      </c>
      <c r="Q51" s="6">
        <v>523762.49999999994</v>
      </c>
      <c r="R51" s="6">
        <v>767465.93</v>
      </c>
      <c r="S51" s="6">
        <v>926947.69000000006</v>
      </c>
      <c r="T51" s="6">
        <v>853218.00999999989</v>
      </c>
      <c r="U51" s="6">
        <v>1052350.8699999999</v>
      </c>
      <c r="V51" s="6">
        <v>997664.50999999989</v>
      </c>
      <c r="W51" s="6">
        <v>837554.05</v>
      </c>
      <c r="X51" s="6">
        <v>555750.32999999577</v>
      </c>
      <c r="Y51" s="6">
        <v>326125.77</v>
      </c>
      <c r="Z51" s="6">
        <v>298947.62</v>
      </c>
      <c r="AA51" s="6">
        <v>370492.33999999991</v>
      </c>
      <c r="AB51" s="6">
        <v>378221.62</v>
      </c>
      <c r="AC51" s="6">
        <v>434250.56000000006</v>
      </c>
      <c r="AD51" s="6">
        <v>625685.59</v>
      </c>
      <c r="AE51" s="6">
        <v>687198.21000000008</v>
      </c>
      <c r="AF51" s="6">
        <v>814837.85000000009</v>
      </c>
      <c r="AG51" s="6">
        <v>863224.39</v>
      </c>
      <c r="AH51" s="6">
        <v>866152.59</v>
      </c>
      <c r="AI51" s="6">
        <v>793458.96000000008</v>
      </c>
      <c r="AJ51" s="6">
        <v>627703.49</v>
      </c>
      <c r="AK51" s="6">
        <v>451058.93</v>
      </c>
      <c r="AL51" s="6">
        <v>442660.70999999996</v>
      </c>
      <c r="AM51" s="6">
        <v>337211.22000000003</v>
      </c>
      <c r="AN51" s="6">
        <v>306275.57000000012</v>
      </c>
      <c r="AO51" s="6">
        <v>537198.46</v>
      </c>
      <c r="AP51" s="6">
        <v>594260.34000000008</v>
      </c>
      <c r="AQ51" s="6">
        <v>650870.88</v>
      </c>
      <c r="AR51" s="6">
        <v>827088.17999999993</v>
      </c>
      <c r="AS51" s="6">
        <v>864119.43</v>
      </c>
      <c r="AT51" s="6">
        <v>936862.7100000002</v>
      </c>
      <c r="AU51" s="6">
        <v>933388.26</v>
      </c>
      <c r="AV51" s="6">
        <v>880095.85999999987</v>
      </c>
      <c r="AW51" s="6">
        <v>687110.07000000007</v>
      </c>
      <c r="AX51" s="6">
        <v>435155.63000000006</v>
      </c>
      <c r="AY51" s="6">
        <v>420353.07</v>
      </c>
      <c r="AZ51" s="6">
        <v>690567.54</v>
      </c>
      <c r="BA51" s="6">
        <v>482723.05000000005</v>
      </c>
      <c r="BB51" s="6">
        <v>510078.05999999994</v>
      </c>
      <c r="BC51" s="6">
        <v>744579.51000000013</v>
      </c>
      <c r="BD51" s="6">
        <v>821161.87999999977</v>
      </c>
      <c r="BE51" s="6">
        <v>811578.34</v>
      </c>
      <c r="BF51" s="6">
        <v>989408.48</v>
      </c>
      <c r="BG51" s="6">
        <v>958673.5</v>
      </c>
      <c r="BH51" s="6">
        <v>840956.71</v>
      </c>
      <c r="BI51" s="6">
        <v>662924.16</v>
      </c>
      <c r="BJ51" s="6">
        <v>521023.25999999995</v>
      </c>
      <c r="BK51" s="6">
        <v>408607.8500000012</v>
      </c>
      <c r="BL51" s="6">
        <v>498996.31000000006</v>
      </c>
      <c r="BM51" s="6">
        <v>635288.00999999989</v>
      </c>
      <c r="BN51" s="6">
        <v>741321.14</v>
      </c>
      <c r="BO51" s="6">
        <v>794921.74000000011</v>
      </c>
      <c r="BP51" s="6">
        <v>1002584.7400000001</v>
      </c>
      <c r="BQ51" s="6">
        <v>781396.33999999985</v>
      </c>
      <c r="BR51" s="6">
        <v>875638.04999999993</v>
      </c>
      <c r="BS51" s="6">
        <v>924676.67</v>
      </c>
      <c r="BT51" s="6">
        <v>920229.83999999985</v>
      </c>
      <c r="BU51" s="6">
        <v>961504.59999999986</v>
      </c>
      <c r="BV51" s="6">
        <v>616253.58000000007</v>
      </c>
      <c r="BW51" s="6">
        <v>551143.13</v>
      </c>
      <c r="BX51" s="6">
        <v>455440.43999999989</v>
      </c>
      <c r="BY51" s="6">
        <v>566412.57000000007</v>
      </c>
      <c r="BZ51" s="6">
        <v>721810.9</v>
      </c>
      <c r="CA51" s="6">
        <v>680802.77</v>
      </c>
      <c r="CB51" s="7">
        <v>746434.87675318704</v>
      </c>
      <c r="CC51" s="7">
        <v>778071.15828819119</v>
      </c>
      <c r="CD51" s="7">
        <v>749409.58384944603</v>
      </c>
      <c r="CE51" s="7">
        <v>637495.81056503532</v>
      </c>
      <c r="CF51" s="7">
        <v>537721.97893628816</v>
      </c>
      <c r="CG51" s="7">
        <v>474560.12580467638</v>
      </c>
      <c r="CH51" s="7">
        <v>419655.19057093537</v>
      </c>
      <c r="CI51" s="7">
        <v>429798.83511685545</v>
      </c>
      <c r="CJ51" s="7">
        <v>496914.41080466344</v>
      </c>
      <c r="CK51" s="7">
        <v>615418.87689185818</v>
      </c>
      <c r="CL51" s="7">
        <v>696869.24886914773</v>
      </c>
      <c r="CM51" s="7">
        <v>698121.2613715413</v>
      </c>
      <c r="CN51" s="7">
        <v>678572.53363256983</v>
      </c>
      <c r="CO51" s="7">
        <v>707332.59346431249</v>
      </c>
      <c r="CP51" s="7">
        <v>681276.79437116696</v>
      </c>
      <c r="CQ51" s="7">
        <v>579537.69421508757</v>
      </c>
      <c r="CR51" s="7">
        <v>488834.829401155</v>
      </c>
      <c r="CS51" s="7">
        <v>431415.35444993578</v>
      </c>
      <c r="CT51" s="7">
        <v>381502.1173132268</v>
      </c>
      <c r="CU51" s="7">
        <v>390723.54947584635</v>
      </c>
      <c r="CV51" s="7">
        <v>451737.29315136309</v>
      </c>
      <c r="CW51" s="7">
        <v>559467.89136422216</v>
      </c>
      <c r="CX51" s="7">
        <v>633513.17917064927</v>
      </c>
      <c r="CY51" s="7">
        <v>634651.36459358176</v>
      </c>
      <c r="CZ51" s="7">
        <v>660786.97229289555</v>
      </c>
      <c r="DA51" s="7">
        <v>688793.22352950997</v>
      </c>
      <c r="DB51" s="7">
        <v>663420.3536591914</v>
      </c>
      <c r="DC51" s="7">
        <v>564347.86159109708</v>
      </c>
      <c r="DD51" s="7">
        <v>476022.34228685766</v>
      </c>
      <c r="DE51" s="7">
        <v>420107.84660199616</v>
      </c>
      <c r="DF51" s="7">
        <v>371502.8483001315</v>
      </c>
      <c r="DG51" s="7">
        <v>380482.58434444474</v>
      </c>
      <c r="DH51" s="7">
        <v>439897.14204216364</v>
      </c>
      <c r="DI51" s="7">
        <v>544804.09345573734</v>
      </c>
      <c r="DJ51" s="7">
        <v>616908.6351474562</v>
      </c>
      <c r="DK51" s="7">
        <v>618016.98843653128</v>
      </c>
      <c r="DL51" s="7">
        <v>643547.78159167746</v>
      </c>
      <c r="DM51" s="7">
        <v>670823.3811566662</v>
      </c>
      <c r="DN51" s="7">
        <v>646112.46099279204</v>
      </c>
      <c r="DO51" s="7">
        <v>549624.6590829799</v>
      </c>
      <c r="DP51" s="7">
        <v>463603.45347576565</v>
      </c>
      <c r="DQ51" s="7">
        <v>409147.70424701064</v>
      </c>
      <c r="DR51" s="7">
        <v>361810.75581581844</v>
      </c>
      <c r="DS51" s="7">
        <v>370556.22062203998</v>
      </c>
      <c r="DT51" s="7">
        <v>428420.71917282138</v>
      </c>
      <c r="DU51" s="7">
        <v>530590.76593007811</v>
      </c>
      <c r="DV51" s="7">
        <v>600814.18103067449</v>
      </c>
      <c r="DW51" s="7">
        <v>601893.6186260148</v>
      </c>
      <c r="DX51" s="7">
        <v>626842.72146155743</v>
      </c>
      <c r="DY51" s="7">
        <v>653410.30750548129</v>
      </c>
      <c r="DZ51" s="7">
        <v>629340.82752525155</v>
      </c>
      <c r="EA51" s="7">
        <v>535357.63301030872</v>
      </c>
      <c r="EB51" s="7">
        <v>451569.34538251808</v>
      </c>
      <c r="EC51" s="7">
        <v>398527.14553007693</v>
      </c>
      <c r="ED51" s="7">
        <v>352418.95833859203</v>
      </c>
      <c r="EE51" s="7">
        <v>360937.41045106662</v>
      </c>
      <c r="EF51" s="7">
        <v>417299.87612202176</v>
      </c>
      <c r="EG51" s="7">
        <v>516817.81712521025</v>
      </c>
      <c r="EH51" s="7">
        <v>585218.3895319876</v>
      </c>
      <c r="EI51" s="7">
        <v>586269.80734316772</v>
      </c>
    </row>
    <row r="52" spans="1:139" x14ac:dyDescent="0.3">
      <c r="A52" s="5" t="s">
        <v>22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7710616.1799999997</v>
      </c>
      <c r="BT52" s="6">
        <v>8680977.7899999991</v>
      </c>
      <c r="BU52" s="6">
        <v>9131132.9399999995</v>
      </c>
      <c r="BV52" s="6">
        <v>8669151.2300000004</v>
      </c>
      <c r="BW52" s="6">
        <v>9354099.4900000002</v>
      </c>
      <c r="BX52" s="6">
        <v>9067319.9299999997</v>
      </c>
      <c r="BY52" s="6">
        <v>9530247.0099999998</v>
      </c>
      <c r="BZ52" s="6">
        <v>7786541.9000000004</v>
      </c>
      <c r="CA52" s="6">
        <v>7900292.3300000001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</row>
    <row r="53" spans="1:139" x14ac:dyDescent="0.3">
      <c r="A53" s="5" t="s">
        <v>23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</row>
    <row r="54" spans="1:139" x14ac:dyDescent="0.3">
      <c r="A54" s="5" t="s">
        <v>24</v>
      </c>
      <c r="B54" s="6">
        <v>35990222.489999995</v>
      </c>
      <c r="C54" s="6">
        <v>33923918.710000001</v>
      </c>
      <c r="D54" s="6">
        <v>36628435.309999995</v>
      </c>
      <c r="E54" s="6">
        <v>36733139.909999996</v>
      </c>
      <c r="F54" s="6">
        <v>32562259.440000001</v>
      </c>
      <c r="G54" s="6">
        <v>35976011.18</v>
      </c>
      <c r="H54" s="6">
        <v>36223076.5</v>
      </c>
      <c r="I54" s="6">
        <v>32434401.43</v>
      </c>
      <c r="J54" s="6">
        <v>34838980</v>
      </c>
      <c r="K54" s="6">
        <v>32632864.5</v>
      </c>
      <c r="L54" s="6">
        <v>33407831.25</v>
      </c>
      <c r="M54" s="6">
        <v>39670773.700000003</v>
      </c>
      <c r="N54" s="6">
        <v>32659361.890000001</v>
      </c>
      <c r="O54" s="6">
        <v>33979073.410000004</v>
      </c>
      <c r="P54" s="6">
        <v>36754426.340000004</v>
      </c>
      <c r="Q54" s="6">
        <v>35522687.569999993</v>
      </c>
      <c r="R54" s="6">
        <v>34754886.559999995</v>
      </c>
      <c r="S54" s="6">
        <v>35126259.789999999</v>
      </c>
      <c r="T54" s="6">
        <v>33569229.780000001</v>
      </c>
      <c r="U54" s="6">
        <v>32654254.390000001</v>
      </c>
      <c r="V54" s="6">
        <v>36390925.509999998</v>
      </c>
      <c r="W54" s="6">
        <v>34975267.590000004</v>
      </c>
      <c r="X54" s="6">
        <v>29054212.969999995</v>
      </c>
      <c r="Y54" s="6">
        <v>25436934.460000001</v>
      </c>
      <c r="Z54" s="6">
        <v>25482684.240000002</v>
      </c>
      <c r="AA54" s="6">
        <v>20998719.310000002</v>
      </c>
      <c r="AB54" s="6">
        <v>25197896.689999998</v>
      </c>
      <c r="AC54" s="6">
        <v>25073169.300000001</v>
      </c>
      <c r="AD54" s="6">
        <v>24978671.609999999</v>
      </c>
      <c r="AE54" s="6">
        <v>25584022.970000003</v>
      </c>
      <c r="AF54" s="6">
        <v>24591359.550000001</v>
      </c>
      <c r="AG54" s="6">
        <v>25995180.259999998</v>
      </c>
      <c r="AH54" s="6">
        <v>24269034.289999999</v>
      </c>
      <c r="AI54" s="6">
        <v>22795058.600000001</v>
      </c>
      <c r="AJ54" s="6">
        <v>25368431.129999995</v>
      </c>
      <c r="AK54" s="6">
        <v>25634721.969999999</v>
      </c>
      <c r="AL54" s="6">
        <v>22022328.900000002</v>
      </c>
      <c r="AM54" s="6">
        <v>21434368.73</v>
      </c>
      <c r="AN54" s="6">
        <v>22053622</v>
      </c>
      <c r="AO54" s="6">
        <v>20947080.969999999</v>
      </c>
      <c r="AP54" s="6">
        <v>21667944.300000001</v>
      </c>
      <c r="AQ54" s="6">
        <v>22667969.109999999</v>
      </c>
      <c r="AR54" s="6">
        <v>21079711.200000003</v>
      </c>
      <c r="AS54" s="6">
        <v>22006098.370000001</v>
      </c>
      <c r="AT54" s="6">
        <v>21900846.079999998</v>
      </c>
      <c r="AU54" s="6">
        <v>20592094.960000001</v>
      </c>
      <c r="AV54" s="6">
        <v>19416510.280000001</v>
      </c>
      <c r="AW54" s="6">
        <v>18170090.550000001</v>
      </c>
      <c r="AX54" s="6">
        <v>19244351.920000002</v>
      </c>
      <c r="AY54" s="6">
        <v>18209512.68</v>
      </c>
      <c r="AZ54" s="6">
        <v>20934509.77</v>
      </c>
      <c r="BA54" s="6">
        <v>24652069.890000001</v>
      </c>
      <c r="BB54" s="6">
        <v>21317392.25</v>
      </c>
      <c r="BC54" s="6">
        <v>20446408.760000002</v>
      </c>
      <c r="BD54" s="6">
        <v>18587431.280000001</v>
      </c>
      <c r="BE54" s="6">
        <v>15823378.359999999</v>
      </c>
      <c r="BF54" s="6">
        <v>17014299.509999998</v>
      </c>
      <c r="BG54" s="6">
        <v>18058016.200000003</v>
      </c>
      <c r="BH54" s="6">
        <v>17742703.690000001</v>
      </c>
      <c r="BI54" s="6">
        <v>15852814.51</v>
      </c>
      <c r="BJ54" s="6">
        <v>16443487.020000001</v>
      </c>
      <c r="BK54" s="6">
        <v>16249401.890000001</v>
      </c>
      <c r="BL54" s="6">
        <v>16016228.129999999</v>
      </c>
      <c r="BM54" s="6">
        <v>16742960.800000001</v>
      </c>
      <c r="BN54" s="6">
        <v>15688301.109999999</v>
      </c>
      <c r="BO54" s="6">
        <v>14595683.359999999</v>
      </c>
      <c r="BP54" s="6">
        <v>11416356.57</v>
      </c>
      <c r="BQ54" s="6">
        <v>14994414.359999999</v>
      </c>
      <c r="BR54" s="6">
        <v>16904358.009999998</v>
      </c>
      <c r="BS54" s="6">
        <v>16421480.58</v>
      </c>
      <c r="BT54" s="6">
        <v>17505272.440000001</v>
      </c>
      <c r="BU54" s="6">
        <v>17425053.649999999</v>
      </c>
      <c r="BV54" s="6">
        <v>18777577.219999999</v>
      </c>
      <c r="BW54" s="6">
        <v>16853884.449999999</v>
      </c>
      <c r="BX54" s="6">
        <v>18225511.190000001</v>
      </c>
      <c r="BY54" s="6">
        <v>18531379.469999999</v>
      </c>
      <c r="BZ54" s="6">
        <v>17402643.219999999</v>
      </c>
      <c r="CA54" s="6">
        <v>18356929.850000001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</row>
    <row r="55" spans="1:139" x14ac:dyDescent="0.3">
      <c r="A55" s="5" t="s">
        <v>25</v>
      </c>
      <c r="B55" s="6">
        <v>1008.5</v>
      </c>
      <c r="C55" s="6">
        <v>666151.89</v>
      </c>
      <c r="D55" s="6">
        <v>429473.44</v>
      </c>
      <c r="E55" s="6">
        <v>298889.05</v>
      </c>
      <c r="F55" s="6">
        <v>307263</v>
      </c>
      <c r="G55" s="6">
        <v>318251.48000000004</v>
      </c>
      <c r="H55" s="6">
        <v>270989.42</v>
      </c>
      <c r="I55" s="6">
        <v>276798.55999999994</v>
      </c>
      <c r="J55" s="6">
        <v>630925.14999999991</v>
      </c>
      <c r="K55" s="6">
        <v>216552.39000000013</v>
      </c>
      <c r="L55" s="6">
        <v>337438.59</v>
      </c>
      <c r="M55" s="6">
        <v>352430.11</v>
      </c>
      <c r="N55" s="6">
        <v>341838.94</v>
      </c>
      <c r="O55" s="6">
        <v>306846.13</v>
      </c>
      <c r="P55" s="6">
        <v>382528.18</v>
      </c>
      <c r="Q55" s="6">
        <v>314094.63</v>
      </c>
      <c r="R55" s="6">
        <v>345874.7</v>
      </c>
      <c r="S55" s="6">
        <v>395671.12</v>
      </c>
      <c r="T55" s="6">
        <v>312084.39</v>
      </c>
      <c r="U55" s="6">
        <v>289162.78000000003</v>
      </c>
      <c r="V55" s="6">
        <v>345625.49</v>
      </c>
      <c r="W55" s="6">
        <v>0</v>
      </c>
      <c r="X55" s="6">
        <v>609691.89</v>
      </c>
      <c r="Y55" s="6">
        <v>207928.19</v>
      </c>
      <c r="Z55" s="6">
        <v>286978.34000000003</v>
      </c>
      <c r="AA55" s="6">
        <v>314892.08</v>
      </c>
      <c r="AB55" s="6">
        <v>379095.59</v>
      </c>
      <c r="AC55" s="6">
        <v>363387.06</v>
      </c>
      <c r="AD55" s="6">
        <v>381706.68</v>
      </c>
      <c r="AE55" s="6">
        <v>290799.65000000002</v>
      </c>
      <c r="AF55" s="6">
        <v>309366.05</v>
      </c>
      <c r="AG55" s="6">
        <v>256657.66</v>
      </c>
      <c r="AH55" s="6">
        <v>281144.46000000002</v>
      </c>
      <c r="AI55" s="6">
        <v>288684.34999999998</v>
      </c>
      <c r="AJ55" s="6">
        <v>300562.09999999998</v>
      </c>
      <c r="AK55" s="6">
        <v>291679.37</v>
      </c>
      <c r="AL55" s="6">
        <v>275883.43</v>
      </c>
      <c r="AM55" s="6">
        <v>219463.5</v>
      </c>
      <c r="AN55" s="6">
        <v>237886.41</v>
      </c>
      <c r="AO55" s="6">
        <v>283619.92</v>
      </c>
      <c r="AP55" s="6">
        <v>239541.26</v>
      </c>
      <c r="AQ55" s="6">
        <v>224743.03999999998</v>
      </c>
      <c r="AR55" s="6">
        <v>249475.42</v>
      </c>
      <c r="AS55" s="6">
        <v>163417.91</v>
      </c>
      <c r="AT55" s="6">
        <v>201192.15</v>
      </c>
      <c r="AU55" s="6">
        <v>241619.55000000002</v>
      </c>
      <c r="AV55" s="6">
        <v>179662.73</v>
      </c>
      <c r="AW55" s="6">
        <v>202922.25</v>
      </c>
      <c r="AX55" s="6">
        <v>171215.43</v>
      </c>
      <c r="AY55" s="6">
        <v>132266.49</v>
      </c>
      <c r="AZ55" s="6">
        <v>145980.47</v>
      </c>
      <c r="BA55" s="6">
        <v>163013.84999999998</v>
      </c>
      <c r="BB55" s="6">
        <v>157012.00999999998</v>
      </c>
      <c r="BC55" s="6">
        <v>239564.24</v>
      </c>
      <c r="BD55" s="6">
        <v>136396.96</v>
      </c>
      <c r="BE55" s="6">
        <v>190156.36</v>
      </c>
      <c r="BF55" s="6">
        <v>153570.12</v>
      </c>
      <c r="BG55" s="6">
        <v>181993.18</v>
      </c>
      <c r="BH55" s="6">
        <v>102548.42</v>
      </c>
      <c r="BI55" s="6">
        <v>137677.61000000002</v>
      </c>
      <c r="BJ55" s="6">
        <v>80657.86</v>
      </c>
      <c r="BK55" s="6">
        <v>138006.62</v>
      </c>
      <c r="BL55" s="6">
        <v>146280.24</v>
      </c>
      <c r="BM55" s="6">
        <v>117852.03</v>
      </c>
      <c r="BN55" s="6">
        <v>152638.27000000002</v>
      </c>
      <c r="BO55" s="6">
        <v>140456.19</v>
      </c>
      <c r="BP55" s="6">
        <v>106587.75</v>
      </c>
      <c r="BQ55" s="6">
        <v>92750.09</v>
      </c>
      <c r="BR55" s="6">
        <v>123201.27</v>
      </c>
      <c r="BS55" s="6">
        <v>118420.77</v>
      </c>
      <c r="BT55" s="6">
        <v>152347.11000000002</v>
      </c>
      <c r="BU55" s="6">
        <v>176801.33000000002</v>
      </c>
      <c r="BV55" s="6">
        <v>148855.31</v>
      </c>
      <c r="BW55" s="6">
        <v>141624.51999999999</v>
      </c>
      <c r="BX55" s="6">
        <v>155605.55000000002</v>
      </c>
      <c r="BY55" s="6">
        <v>125012.58</v>
      </c>
      <c r="BZ55" s="6">
        <v>139479.94</v>
      </c>
      <c r="CA55" s="6">
        <v>95056.21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</row>
    <row r="56" spans="1:139" x14ac:dyDescent="0.3">
      <c r="A56" s="5" t="s">
        <v>26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919955.18</v>
      </c>
      <c r="AZ56" s="6">
        <v>1158338.19</v>
      </c>
      <c r="BA56" s="6">
        <v>1069169.03</v>
      </c>
      <c r="BB56" s="6">
        <v>303741.15000000002</v>
      </c>
      <c r="BC56" s="6">
        <v>25514.66</v>
      </c>
      <c r="BD56" s="6">
        <v>26847.24</v>
      </c>
      <c r="BE56" s="6">
        <v>85383.78</v>
      </c>
      <c r="BF56" s="6">
        <v>39355.67</v>
      </c>
      <c r="BG56" s="6">
        <v>23779.18</v>
      </c>
      <c r="BH56" s="6">
        <v>30075.46</v>
      </c>
      <c r="BI56" s="6">
        <v>188547.79</v>
      </c>
      <c r="BJ56" s="6">
        <v>114938.7</v>
      </c>
      <c r="BK56" s="6">
        <v>46372.12</v>
      </c>
      <c r="BL56" s="6">
        <v>101349.12</v>
      </c>
      <c r="BM56" s="6">
        <v>88006.69</v>
      </c>
      <c r="BN56" s="6">
        <v>80525.05</v>
      </c>
      <c r="BO56" s="6">
        <v>33245.96</v>
      </c>
      <c r="BP56" s="6">
        <v>29022</v>
      </c>
      <c r="BQ56" s="6">
        <v>256851.77</v>
      </c>
      <c r="BR56" s="6">
        <v>434224.1</v>
      </c>
      <c r="BS56" s="6">
        <v>195927.37</v>
      </c>
      <c r="BT56" s="6">
        <v>433466.83</v>
      </c>
      <c r="BU56" s="6">
        <v>391154.91</v>
      </c>
      <c r="BV56" s="6">
        <v>192377.37</v>
      </c>
      <c r="BW56" s="6">
        <v>54758.81</v>
      </c>
      <c r="BX56" s="6">
        <v>113304.08</v>
      </c>
      <c r="BY56" s="6">
        <v>42267.199999999997</v>
      </c>
      <c r="BZ56" s="6">
        <v>48110.81</v>
      </c>
      <c r="CA56" s="6">
        <v>59276.1</v>
      </c>
      <c r="CB56" s="7">
        <v>188093.75</v>
      </c>
      <c r="CC56" s="7">
        <v>188093.75</v>
      </c>
      <c r="CD56" s="7">
        <v>188093.75</v>
      </c>
      <c r="CE56" s="7">
        <v>188093.75</v>
      </c>
      <c r="CF56" s="7">
        <v>188093.75</v>
      </c>
      <c r="CG56" s="7">
        <v>188093.75</v>
      </c>
      <c r="CH56" s="7">
        <v>188093.75</v>
      </c>
      <c r="CI56" s="7">
        <v>188093.75</v>
      </c>
      <c r="CJ56" s="7">
        <v>188093.75</v>
      </c>
      <c r="CK56" s="7">
        <v>188093.75</v>
      </c>
      <c r="CL56" s="7">
        <v>188093.75</v>
      </c>
      <c r="CM56" s="7">
        <v>188093.75</v>
      </c>
      <c r="CN56" s="7">
        <v>188093.75</v>
      </c>
      <c r="CO56" s="7">
        <v>188093.75</v>
      </c>
      <c r="CP56" s="7">
        <v>188093.75</v>
      </c>
      <c r="CQ56" s="7">
        <v>188093.75</v>
      </c>
      <c r="CR56" s="7">
        <v>188093.75</v>
      </c>
      <c r="CS56" s="7">
        <v>188093.75</v>
      </c>
      <c r="CT56" s="7">
        <v>188093.75</v>
      </c>
      <c r="CU56" s="7">
        <v>188093.75</v>
      </c>
      <c r="CV56" s="7">
        <v>188093.75</v>
      </c>
      <c r="CW56" s="7">
        <v>188093.75</v>
      </c>
      <c r="CX56" s="7">
        <v>188093.75</v>
      </c>
      <c r="CY56" s="7">
        <v>188093.75</v>
      </c>
      <c r="CZ56" s="7">
        <v>188093.75</v>
      </c>
      <c r="DA56" s="7">
        <v>188093.75</v>
      </c>
      <c r="DB56" s="7">
        <v>188093.75</v>
      </c>
      <c r="DC56" s="7">
        <v>188093.75</v>
      </c>
      <c r="DD56" s="7">
        <v>188093.75</v>
      </c>
      <c r="DE56" s="7">
        <v>188093.75</v>
      </c>
      <c r="DF56" s="7">
        <v>188093.75</v>
      </c>
      <c r="DG56" s="7">
        <v>188093.75</v>
      </c>
      <c r="DH56" s="7">
        <v>188093.75</v>
      </c>
      <c r="DI56" s="7">
        <v>188093.75</v>
      </c>
      <c r="DJ56" s="7">
        <v>188093.75</v>
      </c>
      <c r="DK56" s="7">
        <v>188093.75</v>
      </c>
      <c r="DL56" s="7">
        <v>188093.75</v>
      </c>
      <c r="DM56" s="7">
        <v>188093.75</v>
      </c>
      <c r="DN56" s="7">
        <v>188093.75</v>
      </c>
      <c r="DO56" s="7">
        <v>188093.75</v>
      </c>
      <c r="DP56" s="7">
        <v>188093.75</v>
      </c>
      <c r="DQ56" s="7">
        <v>188093.75</v>
      </c>
      <c r="DR56" s="7">
        <v>188093.75</v>
      </c>
      <c r="DS56" s="7">
        <v>188093.75</v>
      </c>
      <c r="DT56" s="7">
        <v>188093.75</v>
      </c>
      <c r="DU56" s="7">
        <v>188093.75</v>
      </c>
      <c r="DV56" s="7">
        <v>188093.75</v>
      </c>
      <c r="DW56" s="7">
        <v>188093.75</v>
      </c>
      <c r="DX56" s="7">
        <v>188093.75</v>
      </c>
      <c r="DY56" s="7">
        <v>188093.75</v>
      </c>
      <c r="DZ56" s="7">
        <v>188093.75</v>
      </c>
      <c r="EA56" s="7">
        <v>188093.75</v>
      </c>
      <c r="EB56" s="7">
        <v>188093.75</v>
      </c>
      <c r="EC56" s="7">
        <v>188093.75</v>
      </c>
      <c r="ED56" s="7">
        <v>188093.75</v>
      </c>
      <c r="EE56" s="7">
        <v>188093.75</v>
      </c>
      <c r="EF56" s="7">
        <v>188093.75</v>
      </c>
      <c r="EG56" s="7">
        <v>188093.75</v>
      </c>
      <c r="EH56" s="7">
        <v>188093.75</v>
      </c>
      <c r="EI56" s="7">
        <v>188093.75</v>
      </c>
    </row>
    <row r="57" spans="1:139" x14ac:dyDescent="0.3">
      <c r="A57" s="5" t="s">
        <v>27</v>
      </c>
      <c r="B57" s="8">
        <v>377336063.38700002</v>
      </c>
      <c r="C57" s="8">
        <v>379129966.227</v>
      </c>
      <c r="D57" s="8">
        <v>408875308.24800003</v>
      </c>
      <c r="E57" s="8">
        <v>410274492.49000007</v>
      </c>
      <c r="F57" s="8">
        <v>387034255.62</v>
      </c>
      <c r="G57" s="8">
        <v>404725042.30500013</v>
      </c>
      <c r="H57" s="8">
        <v>388565439.95000011</v>
      </c>
      <c r="I57" s="8">
        <v>342395476.2280001</v>
      </c>
      <c r="J57" s="8">
        <v>388191420.89500004</v>
      </c>
      <c r="K57" s="8">
        <v>364032876.4429999</v>
      </c>
      <c r="L57" s="8">
        <v>370863400.45200002</v>
      </c>
      <c r="M57" s="8">
        <v>382979402.01899993</v>
      </c>
      <c r="N57" s="8">
        <v>382289160.56999993</v>
      </c>
      <c r="O57" s="8">
        <v>373222133.08499998</v>
      </c>
      <c r="P57" s="8">
        <v>386055507.28799993</v>
      </c>
      <c r="Q57" s="8">
        <v>372601606.17600006</v>
      </c>
      <c r="R57" s="8">
        <v>389379956.7240001</v>
      </c>
      <c r="S57" s="8">
        <v>383469694.82000005</v>
      </c>
      <c r="T57" s="8">
        <v>368059705.05999994</v>
      </c>
      <c r="U57" s="8">
        <v>344533592.02299994</v>
      </c>
      <c r="V57" s="8">
        <v>358107891.77399993</v>
      </c>
      <c r="W57" s="8">
        <v>371000556.11699986</v>
      </c>
      <c r="X57" s="8">
        <v>298599071.41300005</v>
      </c>
      <c r="Y57" s="8">
        <v>250274260.23300004</v>
      </c>
      <c r="Z57" s="8">
        <v>300626978.04900002</v>
      </c>
      <c r="AA57" s="8">
        <v>334824352.22299999</v>
      </c>
      <c r="AB57" s="8">
        <v>371977332.01200014</v>
      </c>
      <c r="AC57" s="8">
        <v>377889656.42199993</v>
      </c>
      <c r="AD57" s="8">
        <v>386193503.36900002</v>
      </c>
      <c r="AE57" s="8">
        <v>405654105.8969999</v>
      </c>
      <c r="AF57" s="8">
        <v>404602595.16299999</v>
      </c>
      <c r="AG57" s="8">
        <v>388115840.80599993</v>
      </c>
      <c r="AH57" s="8">
        <v>381951159.78899997</v>
      </c>
      <c r="AI57" s="8">
        <v>361831621.34499997</v>
      </c>
      <c r="AJ57" s="8">
        <v>388598644.94999999</v>
      </c>
      <c r="AK57" s="8">
        <v>386115853.73100007</v>
      </c>
      <c r="AL57" s="8">
        <v>409633928.10699975</v>
      </c>
      <c r="AM57" s="8">
        <v>417006663.53900009</v>
      </c>
      <c r="AN57" s="8">
        <v>423584164.95500004</v>
      </c>
      <c r="AO57" s="8">
        <v>424861442.30000013</v>
      </c>
      <c r="AP57" s="8">
        <v>433489070.50700003</v>
      </c>
      <c r="AQ57" s="8">
        <v>427490210.79200011</v>
      </c>
      <c r="AR57" s="8">
        <v>400396721.79300028</v>
      </c>
      <c r="AS57" s="8">
        <v>380658124.47799999</v>
      </c>
      <c r="AT57" s="8">
        <v>379606067.31900001</v>
      </c>
      <c r="AU57" s="8">
        <v>370006382.91100001</v>
      </c>
      <c r="AV57" s="8">
        <v>384329068.64199984</v>
      </c>
      <c r="AW57" s="8">
        <v>378473630.91799998</v>
      </c>
      <c r="AX57" s="8">
        <v>410234613.87900019</v>
      </c>
      <c r="AY57" s="8">
        <v>406646754.68599993</v>
      </c>
      <c r="AZ57" s="8">
        <v>399965238.05100012</v>
      </c>
      <c r="BA57" s="8">
        <v>428494431.64399999</v>
      </c>
      <c r="BB57" s="8">
        <v>389662312.86600012</v>
      </c>
      <c r="BC57" s="8">
        <v>372581715.824</v>
      </c>
      <c r="BD57" s="8">
        <v>365213943.9889999</v>
      </c>
      <c r="BE57" s="8">
        <v>317391743.24500006</v>
      </c>
      <c r="BF57" s="8">
        <v>339974134.6820001</v>
      </c>
      <c r="BG57" s="8">
        <v>333517022.449</v>
      </c>
      <c r="BH57" s="8">
        <v>344770844.22300011</v>
      </c>
      <c r="BI57" s="8">
        <v>347522038.28100008</v>
      </c>
      <c r="BJ57" s="8">
        <v>375702596.17199999</v>
      </c>
      <c r="BK57" s="8">
        <v>363873193.24400008</v>
      </c>
      <c r="BL57" s="8">
        <v>357518965.11499995</v>
      </c>
      <c r="BM57" s="8">
        <v>365769006.72099996</v>
      </c>
      <c r="BN57" s="8">
        <v>349001622.31499994</v>
      </c>
      <c r="BO57" s="8">
        <v>367981614.34299994</v>
      </c>
      <c r="BP57" s="8">
        <v>323855141.39100009</v>
      </c>
      <c r="BQ57" s="8">
        <v>306827809.09199989</v>
      </c>
      <c r="BR57" s="8">
        <v>345942391.44099998</v>
      </c>
      <c r="BS57" s="8">
        <v>323418076.62599993</v>
      </c>
      <c r="BT57" s="8">
        <v>338245368.61999989</v>
      </c>
      <c r="BU57" s="8">
        <v>353978113.04799992</v>
      </c>
      <c r="BV57" s="8">
        <v>360310028.68400007</v>
      </c>
      <c r="BW57" s="8">
        <v>365944690.17200005</v>
      </c>
      <c r="BX57" s="8">
        <v>375897434.82300001</v>
      </c>
      <c r="BY57" s="8">
        <v>364701656.59499991</v>
      </c>
      <c r="BZ57" s="8">
        <v>349665005.01800001</v>
      </c>
      <c r="CA57" s="8">
        <v>360207858.92900002</v>
      </c>
      <c r="CB57" s="8">
        <v>200852253.32503048</v>
      </c>
      <c r="CC57" s="8">
        <v>209663516.58758548</v>
      </c>
      <c r="CD57" s="8">
        <v>203252776.17911488</v>
      </c>
      <c r="CE57" s="8">
        <v>203915222.585242</v>
      </c>
      <c r="CF57" s="8">
        <v>201627069.65088728</v>
      </c>
      <c r="CG57" s="8">
        <v>252563616.4092041</v>
      </c>
      <c r="CH57" s="8">
        <v>256277186.55049303</v>
      </c>
      <c r="CI57" s="8">
        <v>263239390.33573669</v>
      </c>
      <c r="CJ57" s="8">
        <v>265647361.45010301</v>
      </c>
      <c r="CK57" s="8">
        <v>259489465.52458078</v>
      </c>
      <c r="CL57" s="8">
        <v>263086016.88215563</v>
      </c>
      <c r="CM57" s="8">
        <v>217351671.15802121</v>
      </c>
      <c r="CN57" s="8">
        <v>116878738.2082516</v>
      </c>
      <c r="CO57" s="8">
        <v>120636138.22741121</v>
      </c>
      <c r="CP57" s="8">
        <v>118067390.23620452</v>
      </c>
      <c r="CQ57" s="8">
        <v>118889957.30161427</v>
      </c>
      <c r="CR57" s="8">
        <v>118965318.00046957</v>
      </c>
      <c r="CS57" s="8">
        <v>149925133.43239555</v>
      </c>
      <c r="CT57" s="8">
        <v>152178800.84011403</v>
      </c>
      <c r="CU57" s="8">
        <v>156409713.17786291</v>
      </c>
      <c r="CV57" s="8">
        <v>157857611.16585264</v>
      </c>
      <c r="CW57" s="8">
        <v>152454151.12487552</v>
      </c>
      <c r="CX57" s="8">
        <v>154016946.01445597</v>
      </c>
      <c r="CY57" s="8">
        <v>126678301.18704665</v>
      </c>
      <c r="CZ57" s="8">
        <v>90737270.167686149</v>
      </c>
      <c r="DA57" s="8">
        <v>92984185.417834342</v>
      </c>
      <c r="DB57" s="8">
        <v>91655813.135802522</v>
      </c>
      <c r="DC57" s="8">
        <v>92544389.763008744</v>
      </c>
      <c r="DD57" s="8">
        <v>93491326.362859681</v>
      </c>
      <c r="DE57" s="8">
        <v>118308856.28883977</v>
      </c>
      <c r="DF57" s="8">
        <v>120128688.17536297</v>
      </c>
      <c r="DG57" s="8">
        <v>123550984.14040656</v>
      </c>
      <c r="DH57" s="8">
        <v>124652077.7195453</v>
      </c>
      <c r="DI57" s="8">
        <v>119379839.04761681</v>
      </c>
      <c r="DJ57" s="8">
        <v>120233601.7958127</v>
      </c>
      <c r="DK57" s="8">
        <v>98594658.293603167</v>
      </c>
      <c r="DL57" s="8">
        <v>95434125.081147313</v>
      </c>
      <c r="DM57" s="8">
        <v>97930877.401987523</v>
      </c>
      <c r="DN57" s="8">
        <v>96487087.632003054</v>
      </c>
      <c r="DO57" s="8">
        <v>97356833.653896257</v>
      </c>
      <c r="DP57" s="8">
        <v>98307755.44240436</v>
      </c>
      <c r="DQ57" s="8">
        <v>124331307.3697605</v>
      </c>
      <c r="DR57" s="8">
        <v>126184433.94828819</v>
      </c>
      <c r="DS57" s="8">
        <v>129783246.52538192</v>
      </c>
      <c r="DT57" s="8">
        <v>130913141.20622602</v>
      </c>
      <c r="DU57" s="8">
        <v>125463745.01286179</v>
      </c>
      <c r="DV57" s="8">
        <v>126417709.9421747</v>
      </c>
      <c r="DW57" s="8">
        <v>103809496.96770364</v>
      </c>
      <c r="DX57" s="8">
        <v>97160194.265095949</v>
      </c>
      <c r="DY57" s="8">
        <v>99674718.533878192</v>
      </c>
      <c r="DZ57" s="8">
        <v>98285962.004135743</v>
      </c>
      <c r="EA57" s="8">
        <v>99089771.397444099</v>
      </c>
      <c r="EB57" s="8">
        <v>100104464.86554447</v>
      </c>
      <c r="EC57" s="8">
        <v>126603082.74629091</v>
      </c>
      <c r="ED57" s="8">
        <v>128372504.89283377</v>
      </c>
      <c r="EE57" s="8">
        <v>132037629.60049157</v>
      </c>
      <c r="EF57" s="8">
        <v>133176363.6832557</v>
      </c>
      <c r="EG57" s="8">
        <v>127590093.65150349</v>
      </c>
      <c r="EH57" s="8">
        <v>128644301.90569118</v>
      </c>
      <c r="EI57" s="8">
        <v>105832158.18571535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6FFA-7D8A-486B-812D-B51CBF49C899}">
  <dimension ref="A1:AG79"/>
  <sheetViews>
    <sheetView tabSelected="1" topLeftCell="D1" workbookViewId="0">
      <selection activeCell="U2" sqref="U2"/>
    </sheetView>
  </sheetViews>
  <sheetFormatPr defaultRowHeight="14.4" x14ac:dyDescent="0.3"/>
  <cols>
    <col min="1" max="1" width="10.33203125" bestFit="1" customWidth="1"/>
    <col min="21" max="21" width="13.77734375" customWidth="1"/>
    <col min="33" max="33" width="12.6640625" customWidth="1"/>
  </cols>
  <sheetData>
    <row r="1" spans="1:33" x14ac:dyDescent="0.3">
      <c r="A1" t="s">
        <v>11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 spans="1:33" x14ac:dyDescent="0.3">
      <c r="A2" s="2">
        <v>43252</v>
      </c>
      <c r="B2">
        <v>1213427</v>
      </c>
      <c r="C2">
        <v>593175</v>
      </c>
      <c r="D2">
        <v>30238</v>
      </c>
      <c r="E2">
        <v>1262</v>
      </c>
      <c r="F2">
        <v>264</v>
      </c>
      <c r="G2">
        <v>263</v>
      </c>
      <c r="H2">
        <v>0</v>
      </c>
      <c r="I2">
        <v>1</v>
      </c>
      <c r="J2">
        <v>30</v>
      </c>
      <c r="K2">
        <v>69</v>
      </c>
      <c r="L2">
        <v>0</v>
      </c>
      <c r="M2">
        <v>0</v>
      </c>
      <c r="N2">
        <v>22</v>
      </c>
      <c r="O2">
        <v>1</v>
      </c>
      <c r="P2">
        <v>3</v>
      </c>
      <c r="Q2">
        <v>1838491</v>
      </c>
      <c r="R2">
        <v>13873625.150000002</v>
      </c>
      <c r="S2">
        <v>12389809.890000001</v>
      </c>
      <c r="T2">
        <v>12525290.509999998</v>
      </c>
      <c r="U2">
        <v>253581753.45999998</v>
      </c>
      <c r="V2">
        <v>20620848.449999999</v>
      </c>
      <c r="W2">
        <v>20591099.263</v>
      </c>
      <c r="X2">
        <v>0</v>
      </c>
      <c r="Y2">
        <v>29749.194</v>
      </c>
      <c r="Z2">
        <v>27780115.950000003</v>
      </c>
      <c r="AA2">
        <v>573388.98</v>
      </c>
      <c r="AB2">
        <v>0</v>
      </c>
      <c r="AC2">
        <v>0</v>
      </c>
      <c r="AD2">
        <v>35990222.489999995</v>
      </c>
      <c r="AE2">
        <v>1008.5</v>
      </c>
      <c r="AF2">
        <v>0</v>
      </c>
      <c r="AG2">
        <v>377336063.38700002</v>
      </c>
    </row>
    <row r="3" spans="1:33" x14ac:dyDescent="0.3">
      <c r="A3" s="2">
        <v>43282</v>
      </c>
      <c r="B3">
        <v>1226778</v>
      </c>
      <c r="C3">
        <v>598866</v>
      </c>
      <c r="D3">
        <v>30733</v>
      </c>
      <c r="E3">
        <v>1262</v>
      </c>
      <c r="F3">
        <v>256</v>
      </c>
      <c r="G3">
        <v>255</v>
      </c>
      <c r="H3">
        <v>0</v>
      </c>
      <c r="I3">
        <v>1</v>
      </c>
      <c r="J3">
        <v>30</v>
      </c>
      <c r="K3">
        <v>75</v>
      </c>
      <c r="L3">
        <v>0</v>
      </c>
      <c r="M3">
        <v>0</v>
      </c>
      <c r="N3">
        <v>30</v>
      </c>
      <c r="O3">
        <v>5</v>
      </c>
      <c r="P3">
        <v>1</v>
      </c>
      <c r="Q3">
        <v>1858036</v>
      </c>
      <c r="R3">
        <v>13428091.249999996</v>
      </c>
      <c r="S3">
        <v>11966696.24</v>
      </c>
      <c r="T3">
        <v>12703009.689999998</v>
      </c>
      <c r="U3">
        <v>261226575.05000001</v>
      </c>
      <c r="V3">
        <v>17670876.219999999</v>
      </c>
      <c r="W3">
        <v>17647573.577000007</v>
      </c>
      <c r="X3">
        <v>0</v>
      </c>
      <c r="Y3">
        <v>23302.639999999999</v>
      </c>
      <c r="Z3">
        <v>27041542.960000001</v>
      </c>
      <c r="AA3">
        <v>503104.22000000003</v>
      </c>
      <c r="AB3">
        <v>0</v>
      </c>
      <c r="AC3">
        <v>0</v>
      </c>
      <c r="AD3">
        <v>33923918.710000001</v>
      </c>
      <c r="AE3">
        <v>666151.89</v>
      </c>
      <c r="AF3">
        <v>0</v>
      </c>
      <c r="AG3">
        <v>379129966.227</v>
      </c>
    </row>
    <row r="4" spans="1:33" x14ac:dyDescent="0.3">
      <c r="A4" s="2">
        <v>43313</v>
      </c>
      <c r="B4">
        <v>1231764</v>
      </c>
      <c r="C4">
        <v>599669</v>
      </c>
      <c r="D4">
        <v>30710</v>
      </c>
      <c r="E4">
        <v>1276</v>
      </c>
      <c r="F4">
        <v>260</v>
      </c>
      <c r="G4">
        <v>259</v>
      </c>
      <c r="H4">
        <v>0</v>
      </c>
      <c r="I4">
        <v>1</v>
      </c>
      <c r="J4">
        <v>31</v>
      </c>
      <c r="K4">
        <v>75</v>
      </c>
      <c r="L4">
        <v>0</v>
      </c>
      <c r="M4">
        <v>0</v>
      </c>
      <c r="N4">
        <v>25</v>
      </c>
      <c r="O4">
        <v>5</v>
      </c>
      <c r="P4">
        <v>1</v>
      </c>
      <c r="Q4">
        <v>1863816</v>
      </c>
      <c r="R4">
        <v>13478410.300000004</v>
      </c>
      <c r="S4">
        <v>12583762.490000006</v>
      </c>
      <c r="T4">
        <v>13176617.809999999</v>
      </c>
      <c r="U4">
        <v>284838345.56</v>
      </c>
      <c r="V4">
        <v>20261595.350000005</v>
      </c>
      <c r="W4">
        <v>20233846.647999991</v>
      </c>
      <c r="X4">
        <v>0</v>
      </c>
      <c r="Y4">
        <v>27748.7</v>
      </c>
      <c r="Z4">
        <v>27034222.5</v>
      </c>
      <c r="AA4">
        <v>444445.48999999993</v>
      </c>
      <c r="AB4">
        <v>0</v>
      </c>
      <c r="AC4">
        <v>0</v>
      </c>
      <c r="AD4">
        <v>36628435.309999995</v>
      </c>
      <c r="AE4">
        <v>429473.44</v>
      </c>
      <c r="AF4">
        <v>0</v>
      </c>
      <c r="AG4">
        <v>408875308.24800003</v>
      </c>
    </row>
    <row r="5" spans="1:33" x14ac:dyDescent="0.3">
      <c r="A5" s="2">
        <v>43344</v>
      </c>
      <c r="B5">
        <v>1229575</v>
      </c>
      <c r="C5">
        <v>639991</v>
      </c>
      <c r="D5">
        <v>30969</v>
      </c>
      <c r="E5">
        <v>1259</v>
      </c>
      <c r="F5">
        <v>265</v>
      </c>
      <c r="G5">
        <v>264</v>
      </c>
      <c r="H5">
        <v>0</v>
      </c>
      <c r="I5">
        <v>1</v>
      </c>
      <c r="J5">
        <v>30</v>
      </c>
      <c r="K5">
        <v>81</v>
      </c>
      <c r="L5">
        <v>0</v>
      </c>
      <c r="M5">
        <v>0</v>
      </c>
      <c r="N5">
        <v>24</v>
      </c>
      <c r="O5">
        <v>4</v>
      </c>
      <c r="P5">
        <v>1</v>
      </c>
      <c r="Q5">
        <v>1902199</v>
      </c>
      <c r="R5">
        <v>14503410.939999998</v>
      </c>
      <c r="S5">
        <v>13204783.679999996</v>
      </c>
      <c r="T5">
        <v>13906231.249999996</v>
      </c>
      <c r="U5">
        <v>281121954.31000006</v>
      </c>
      <c r="V5">
        <v>20551221.23</v>
      </c>
      <c r="W5">
        <v>20523555.590000015</v>
      </c>
      <c r="X5">
        <v>0</v>
      </c>
      <c r="Y5">
        <v>27665.64</v>
      </c>
      <c r="Z5">
        <v>29449536.66</v>
      </c>
      <c r="AA5">
        <v>505325.46</v>
      </c>
      <c r="AB5">
        <v>0</v>
      </c>
      <c r="AC5">
        <v>0</v>
      </c>
      <c r="AD5">
        <v>36733139.909999996</v>
      </c>
      <c r="AE5">
        <v>298889.05</v>
      </c>
      <c r="AF5">
        <v>0</v>
      </c>
      <c r="AG5">
        <v>410274492.49000007</v>
      </c>
    </row>
    <row r="6" spans="1:33" x14ac:dyDescent="0.3">
      <c r="A6" s="2">
        <v>43374</v>
      </c>
      <c r="B6">
        <v>1243986</v>
      </c>
      <c r="C6">
        <v>611396</v>
      </c>
      <c r="D6">
        <v>30602</v>
      </c>
      <c r="E6">
        <v>1295</v>
      </c>
      <c r="F6">
        <v>258</v>
      </c>
      <c r="G6">
        <v>257</v>
      </c>
      <c r="H6">
        <v>0</v>
      </c>
      <c r="I6">
        <v>1</v>
      </c>
      <c r="J6">
        <v>30</v>
      </c>
      <c r="K6">
        <v>73</v>
      </c>
      <c r="L6">
        <v>0</v>
      </c>
      <c r="M6">
        <v>0</v>
      </c>
      <c r="N6">
        <v>23</v>
      </c>
      <c r="O6">
        <v>2</v>
      </c>
      <c r="P6">
        <v>1</v>
      </c>
      <c r="Q6">
        <v>1887666</v>
      </c>
      <c r="R6">
        <v>13029252.009999996</v>
      </c>
      <c r="S6">
        <v>11707935.160000002</v>
      </c>
      <c r="T6">
        <v>12713866.689999999</v>
      </c>
      <c r="U6">
        <v>266297252.64999995</v>
      </c>
      <c r="V6">
        <v>19693155.399999995</v>
      </c>
      <c r="W6">
        <v>19662794.679999985</v>
      </c>
      <c r="X6">
        <v>0</v>
      </c>
      <c r="Y6">
        <v>30360.720000000001</v>
      </c>
      <c r="Z6">
        <v>30120140.860000003</v>
      </c>
      <c r="AA6">
        <v>603130.40999999992</v>
      </c>
      <c r="AB6">
        <v>0</v>
      </c>
      <c r="AC6">
        <v>0</v>
      </c>
      <c r="AD6">
        <v>32562259.440000001</v>
      </c>
      <c r="AE6">
        <v>307263</v>
      </c>
      <c r="AF6">
        <v>0</v>
      </c>
      <c r="AG6">
        <v>387034255.62</v>
      </c>
    </row>
    <row r="7" spans="1:33" x14ac:dyDescent="0.3">
      <c r="A7" s="2">
        <v>43405</v>
      </c>
      <c r="B7">
        <v>1244481</v>
      </c>
      <c r="C7">
        <v>616497</v>
      </c>
      <c r="D7">
        <v>32149</v>
      </c>
      <c r="E7">
        <v>1298</v>
      </c>
      <c r="F7">
        <v>258</v>
      </c>
      <c r="G7">
        <v>257</v>
      </c>
      <c r="H7">
        <v>0</v>
      </c>
      <c r="I7">
        <v>1</v>
      </c>
      <c r="J7">
        <v>30</v>
      </c>
      <c r="K7">
        <v>80</v>
      </c>
      <c r="L7">
        <v>0</v>
      </c>
      <c r="M7">
        <v>0</v>
      </c>
      <c r="N7">
        <v>23</v>
      </c>
      <c r="O7">
        <v>4</v>
      </c>
      <c r="P7">
        <v>1</v>
      </c>
      <c r="Q7">
        <v>1894821</v>
      </c>
      <c r="R7">
        <v>12458321.650000008</v>
      </c>
      <c r="S7">
        <v>11260542.779999997</v>
      </c>
      <c r="T7">
        <v>12857001.380000001</v>
      </c>
      <c r="U7">
        <v>276482022.77000004</v>
      </c>
      <c r="V7">
        <v>22145886.229999997</v>
      </c>
      <c r="W7">
        <v>22113873.875</v>
      </c>
      <c r="X7">
        <v>0</v>
      </c>
      <c r="Y7">
        <v>32012.35</v>
      </c>
      <c r="Z7">
        <v>32544562.990000002</v>
      </c>
      <c r="AA7">
        <v>682441.85</v>
      </c>
      <c r="AB7">
        <v>0</v>
      </c>
      <c r="AC7">
        <v>0</v>
      </c>
      <c r="AD7">
        <v>35976011.18</v>
      </c>
      <c r="AE7">
        <v>318251.48000000004</v>
      </c>
      <c r="AF7">
        <v>0</v>
      </c>
      <c r="AG7">
        <v>404725042.30500013</v>
      </c>
    </row>
    <row r="8" spans="1:33" x14ac:dyDescent="0.3">
      <c r="A8" s="2">
        <v>43435</v>
      </c>
      <c r="B8">
        <v>1226315</v>
      </c>
      <c r="C8">
        <v>606837</v>
      </c>
      <c r="D8">
        <v>30210</v>
      </c>
      <c r="E8">
        <v>1300</v>
      </c>
      <c r="F8">
        <v>254</v>
      </c>
      <c r="G8">
        <v>253</v>
      </c>
      <c r="H8">
        <v>0</v>
      </c>
      <c r="I8">
        <v>1</v>
      </c>
      <c r="J8">
        <v>30</v>
      </c>
      <c r="K8">
        <v>85</v>
      </c>
      <c r="L8">
        <v>0</v>
      </c>
      <c r="M8">
        <v>0</v>
      </c>
      <c r="N8">
        <v>21</v>
      </c>
      <c r="O8">
        <v>2</v>
      </c>
      <c r="P8">
        <v>1</v>
      </c>
      <c r="Q8">
        <v>1865055</v>
      </c>
      <c r="R8">
        <v>11448690.199999996</v>
      </c>
      <c r="S8">
        <v>10148304.540000003</v>
      </c>
      <c r="T8">
        <v>12076458.23</v>
      </c>
      <c r="U8">
        <v>266984979.44000006</v>
      </c>
      <c r="V8">
        <v>21656172.350000001</v>
      </c>
      <c r="W8">
        <v>21627163.609999999</v>
      </c>
      <c r="X8">
        <v>0</v>
      </c>
      <c r="Y8">
        <v>29008.74</v>
      </c>
      <c r="Z8">
        <v>28898612.75</v>
      </c>
      <c r="AA8">
        <v>858156.5199999999</v>
      </c>
      <c r="AB8">
        <v>0</v>
      </c>
      <c r="AC8">
        <v>0</v>
      </c>
      <c r="AD8">
        <v>36223076.5</v>
      </c>
      <c r="AE8">
        <v>270989.42</v>
      </c>
      <c r="AF8">
        <v>0</v>
      </c>
      <c r="AG8">
        <v>388565439.95000011</v>
      </c>
    </row>
    <row r="9" spans="1:33" x14ac:dyDescent="0.3">
      <c r="A9" s="2">
        <v>43466</v>
      </c>
      <c r="B9">
        <v>1199537</v>
      </c>
      <c r="C9">
        <v>582435</v>
      </c>
      <c r="D9">
        <v>29964</v>
      </c>
      <c r="E9">
        <v>1319</v>
      </c>
      <c r="F9">
        <v>255</v>
      </c>
      <c r="G9">
        <v>254</v>
      </c>
      <c r="H9">
        <v>0</v>
      </c>
      <c r="I9">
        <v>1</v>
      </c>
      <c r="J9">
        <v>31</v>
      </c>
      <c r="K9">
        <v>86</v>
      </c>
      <c r="L9">
        <v>0</v>
      </c>
      <c r="M9">
        <v>0</v>
      </c>
      <c r="N9">
        <v>21</v>
      </c>
      <c r="O9">
        <v>4</v>
      </c>
      <c r="P9">
        <v>2</v>
      </c>
      <c r="Q9">
        <v>1813654</v>
      </c>
      <c r="R9">
        <v>10272579.349999998</v>
      </c>
      <c r="S9">
        <v>8437863.2599999979</v>
      </c>
      <c r="T9">
        <v>11758233.940000001</v>
      </c>
      <c r="U9">
        <v>231942962.81000003</v>
      </c>
      <c r="V9">
        <v>18226771.469999999</v>
      </c>
      <c r="W9">
        <v>18206082.428000007</v>
      </c>
      <c r="X9">
        <v>0</v>
      </c>
      <c r="Y9">
        <v>20689.04</v>
      </c>
      <c r="Z9">
        <v>27883209.060000002</v>
      </c>
      <c r="AA9">
        <v>1162656.3500000001</v>
      </c>
      <c r="AB9">
        <v>0</v>
      </c>
      <c r="AC9">
        <v>0</v>
      </c>
      <c r="AD9">
        <v>32434401.43</v>
      </c>
      <c r="AE9">
        <v>276798.55999999994</v>
      </c>
      <c r="AF9">
        <v>0</v>
      </c>
      <c r="AG9">
        <v>342395476.2280001</v>
      </c>
    </row>
    <row r="10" spans="1:33" x14ac:dyDescent="0.3">
      <c r="A10" s="2">
        <v>43497</v>
      </c>
      <c r="B10">
        <v>1266476</v>
      </c>
      <c r="C10">
        <v>641584</v>
      </c>
      <c r="D10">
        <v>32000</v>
      </c>
      <c r="E10">
        <v>1343</v>
      </c>
      <c r="F10">
        <v>254</v>
      </c>
      <c r="G10">
        <v>253</v>
      </c>
      <c r="H10">
        <v>0</v>
      </c>
      <c r="I10">
        <v>1</v>
      </c>
      <c r="J10">
        <v>33</v>
      </c>
      <c r="K10">
        <v>84</v>
      </c>
      <c r="L10">
        <v>0</v>
      </c>
      <c r="M10">
        <v>0</v>
      </c>
      <c r="N10">
        <v>21</v>
      </c>
      <c r="O10">
        <v>2</v>
      </c>
      <c r="P10">
        <v>1</v>
      </c>
      <c r="Q10">
        <v>1941798</v>
      </c>
      <c r="R10">
        <v>9799307</v>
      </c>
      <c r="S10">
        <v>7818537.4700000025</v>
      </c>
      <c r="T10">
        <v>12026570.349999994</v>
      </c>
      <c r="U10">
        <v>272755256.59000003</v>
      </c>
      <c r="V10">
        <v>20092677.339999996</v>
      </c>
      <c r="W10">
        <v>20064102.054999989</v>
      </c>
      <c r="X10">
        <v>0</v>
      </c>
      <c r="Y10">
        <v>28575.29</v>
      </c>
      <c r="Z10">
        <v>29124962.920000002</v>
      </c>
      <c r="AA10">
        <v>1104204.07</v>
      </c>
      <c r="AB10">
        <v>0</v>
      </c>
      <c r="AC10">
        <v>0</v>
      </c>
      <c r="AD10">
        <v>34838980</v>
      </c>
      <c r="AE10">
        <v>630925.14999999991</v>
      </c>
      <c r="AF10">
        <v>0</v>
      </c>
      <c r="AG10">
        <v>388191420.89500004</v>
      </c>
    </row>
    <row r="11" spans="1:33" x14ac:dyDescent="0.3">
      <c r="A11" s="2">
        <v>43525</v>
      </c>
      <c r="B11">
        <v>1271294</v>
      </c>
      <c r="C11">
        <v>641980</v>
      </c>
      <c r="D11">
        <v>32123</v>
      </c>
      <c r="E11">
        <v>1331</v>
      </c>
      <c r="F11">
        <v>258</v>
      </c>
      <c r="G11">
        <v>257</v>
      </c>
      <c r="H11">
        <v>0</v>
      </c>
      <c r="I11">
        <v>1</v>
      </c>
      <c r="J11">
        <v>30</v>
      </c>
      <c r="K11">
        <v>93</v>
      </c>
      <c r="L11">
        <v>0</v>
      </c>
      <c r="M11">
        <v>0</v>
      </c>
      <c r="N11">
        <v>21</v>
      </c>
      <c r="O11">
        <v>4</v>
      </c>
      <c r="P11">
        <v>1</v>
      </c>
      <c r="Q11">
        <v>1947135</v>
      </c>
      <c r="R11">
        <v>10717746.729999989</v>
      </c>
      <c r="S11">
        <v>9274163.7600000072</v>
      </c>
      <c r="T11">
        <v>12874067.730000004</v>
      </c>
      <c r="U11">
        <v>250358023.03000003</v>
      </c>
      <c r="V11">
        <v>18332525.209999997</v>
      </c>
      <c r="W11">
        <v>18302871.742999993</v>
      </c>
      <c r="X11">
        <v>0</v>
      </c>
      <c r="Y11">
        <v>29653.46</v>
      </c>
      <c r="Z11">
        <v>28517299.330000002</v>
      </c>
      <c r="AA11">
        <v>1109633.7699999998</v>
      </c>
      <c r="AB11">
        <v>0</v>
      </c>
      <c r="AC11">
        <v>0</v>
      </c>
      <c r="AD11">
        <v>32632864.5</v>
      </c>
      <c r="AE11">
        <v>216552.39000000013</v>
      </c>
      <c r="AF11">
        <v>0</v>
      </c>
      <c r="AG11">
        <v>364032876.4429999</v>
      </c>
    </row>
    <row r="12" spans="1:33" x14ac:dyDescent="0.3">
      <c r="A12" s="2">
        <v>43556</v>
      </c>
      <c r="B12">
        <v>1280623</v>
      </c>
      <c r="C12">
        <v>656726</v>
      </c>
      <c r="D12">
        <v>33527</v>
      </c>
      <c r="E12">
        <v>1370</v>
      </c>
      <c r="F12">
        <v>259</v>
      </c>
      <c r="G12">
        <v>258</v>
      </c>
      <c r="H12">
        <v>0</v>
      </c>
      <c r="I12">
        <v>1</v>
      </c>
      <c r="J12">
        <v>31</v>
      </c>
      <c r="K12">
        <v>95</v>
      </c>
      <c r="L12">
        <v>0</v>
      </c>
      <c r="M12">
        <v>0</v>
      </c>
      <c r="N12">
        <v>23</v>
      </c>
      <c r="O12">
        <v>2</v>
      </c>
      <c r="P12">
        <v>1</v>
      </c>
      <c r="Q12">
        <v>1972657</v>
      </c>
      <c r="R12">
        <v>10930106.73000001</v>
      </c>
      <c r="S12">
        <v>11384551.870000005</v>
      </c>
      <c r="T12">
        <v>10657111.560000002</v>
      </c>
      <c r="U12">
        <v>252880660.31999999</v>
      </c>
      <c r="V12">
        <v>19462348.469999999</v>
      </c>
      <c r="W12">
        <v>19430675.662</v>
      </c>
      <c r="X12">
        <v>0</v>
      </c>
      <c r="Y12">
        <v>31672.81</v>
      </c>
      <c r="Z12">
        <v>30900619.940000005</v>
      </c>
      <c r="AA12">
        <v>902731.72</v>
      </c>
      <c r="AB12">
        <v>0</v>
      </c>
      <c r="AC12">
        <v>0</v>
      </c>
      <c r="AD12">
        <v>33407831.25</v>
      </c>
      <c r="AE12">
        <v>337438.59</v>
      </c>
      <c r="AF12">
        <v>0</v>
      </c>
      <c r="AG12">
        <v>370863400.45200002</v>
      </c>
    </row>
    <row r="13" spans="1:33" x14ac:dyDescent="0.3">
      <c r="A13" s="2">
        <v>43586</v>
      </c>
      <c r="B13">
        <v>1277050</v>
      </c>
      <c r="C13">
        <v>643150</v>
      </c>
      <c r="D13">
        <v>31284</v>
      </c>
      <c r="E13">
        <v>1334</v>
      </c>
      <c r="F13">
        <v>259</v>
      </c>
      <c r="G13">
        <v>258</v>
      </c>
      <c r="H13">
        <v>0</v>
      </c>
      <c r="I13">
        <v>1</v>
      </c>
      <c r="J13">
        <v>31</v>
      </c>
      <c r="K13">
        <v>90</v>
      </c>
      <c r="L13">
        <v>0</v>
      </c>
      <c r="M13">
        <v>0</v>
      </c>
      <c r="N13">
        <v>23</v>
      </c>
      <c r="O13">
        <v>2</v>
      </c>
      <c r="P13">
        <v>1</v>
      </c>
      <c r="Q13">
        <v>1953224</v>
      </c>
      <c r="R13">
        <v>11665790.720000008</v>
      </c>
      <c r="S13">
        <v>8290716.5500000017</v>
      </c>
      <c r="T13">
        <v>12553976.369999999</v>
      </c>
      <c r="U13">
        <v>260620655.46999997</v>
      </c>
      <c r="V13">
        <v>20081056.079999998</v>
      </c>
      <c r="W13">
        <v>20061028.308999989</v>
      </c>
      <c r="X13">
        <v>0</v>
      </c>
      <c r="Y13">
        <v>20027.77</v>
      </c>
      <c r="Z13">
        <v>28845149.879999999</v>
      </c>
      <c r="AA13">
        <v>898853.1399999999</v>
      </c>
      <c r="AB13">
        <v>0</v>
      </c>
      <c r="AC13">
        <v>0</v>
      </c>
      <c r="AD13">
        <v>39670773.700000003</v>
      </c>
      <c r="AE13">
        <v>352430.11</v>
      </c>
      <c r="AF13">
        <v>0</v>
      </c>
      <c r="AG13">
        <v>382979402.01899993</v>
      </c>
    </row>
    <row r="14" spans="1:33" x14ac:dyDescent="0.3">
      <c r="A14" s="2">
        <v>43617</v>
      </c>
      <c r="B14">
        <v>1265648</v>
      </c>
      <c r="C14">
        <v>610612</v>
      </c>
      <c r="D14">
        <v>31650</v>
      </c>
      <c r="E14">
        <v>1348</v>
      </c>
      <c r="F14">
        <v>258</v>
      </c>
      <c r="G14">
        <v>257</v>
      </c>
      <c r="H14">
        <v>0</v>
      </c>
      <c r="I14">
        <v>1</v>
      </c>
      <c r="J14">
        <v>43</v>
      </c>
      <c r="K14">
        <v>117</v>
      </c>
      <c r="L14">
        <v>0</v>
      </c>
      <c r="M14">
        <v>0</v>
      </c>
      <c r="N14">
        <v>17</v>
      </c>
      <c r="O14">
        <v>2</v>
      </c>
      <c r="P14">
        <v>1</v>
      </c>
      <c r="Q14">
        <v>1909696</v>
      </c>
      <c r="R14">
        <v>12993614.089999998</v>
      </c>
      <c r="S14">
        <v>10950699.750000002</v>
      </c>
      <c r="T14">
        <v>11508985.140000002</v>
      </c>
      <c r="U14">
        <v>268779018.07999998</v>
      </c>
      <c r="V14">
        <v>17396800.979999997</v>
      </c>
      <c r="W14">
        <v>17379636.270000003</v>
      </c>
      <c r="X14">
        <v>0</v>
      </c>
      <c r="Y14">
        <v>17164.71</v>
      </c>
      <c r="Z14">
        <v>27027083.200000003</v>
      </c>
      <c r="AA14">
        <v>631758.5</v>
      </c>
      <c r="AB14">
        <v>0</v>
      </c>
      <c r="AC14">
        <v>0</v>
      </c>
      <c r="AD14">
        <v>32659361.890000001</v>
      </c>
      <c r="AE14">
        <v>341838.94</v>
      </c>
      <c r="AF14">
        <v>0</v>
      </c>
      <c r="AG14">
        <v>382289160.56999993</v>
      </c>
    </row>
    <row r="15" spans="1:33" x14ac:dyDescent="0.3">
      <c r="A15" s="2">
        <v>43647</v>
      </c>
      <c r="B15">
        <v>1285196</v>
      </c>
      <c r="C15">
        <v>689795</v>
      </c>
      <c r="D15">
        <v>32761</v>
      </c>
      <c r="E15">
        <v>1358</v>
      </c>
      <c r="F15">
        <v>256</v>
      </c>
      <c r="G15">
        <v>256</v>
      </c>
      <c r="H15">
        <v>0</v>
      </c>
      <c r="I15">
        <v>0</v>
      </c>
      <c r="J15">
        <v>34</v>
      </c>
      <c r="K15">
        <v>94</v>
      </c>
      <c r="L15">
        <v>0</v>
      </c>
      <c r="M15">
        <v>0</v>
      </c>
      <c r="N15">
        <v>21</v>
      </c>
      <c r="O15">
        <v>2</v>
      </c>
      <c r="P15">
        <v>1</v>
      </c>
      <c r="Q15">
        <v>2009518</v>
      </c>
      <c r="R15">
        <v>13783973.62999998</v>
      </c>
      <c r="S15">
        <v>13536361.820000004</v>
      </c>
      <c r="T15">
        <v>14075176.150000006</v>
      </c>
      <c r="U15">
        <v>252598179.11999997</v>
      </c>
      <c r="V15">
        <v>17489577.849999998</v>
      </c>
      <c r="W15">
        <v>17489577.844999999</v>
      </c>
      <c r="X15">
        <v>0</v>
      </c>
      <c r="Y15">
        <v>0</v>
      </c>
      <c r="Z15">
        <v>26931826.219999999</v>
      </c>
      <c r="AA15">
        <v>521118.76</v>
      </c>
      <c r="AB15">
        <v>0</v>
      </c>
      <c r="AC15">
        <v>0</v>
      </c>
      <c r="AD15">
        <v>33979073.410000004</v>
      </c>
      <c r="AE15">
        <v>306846.13</v>
      </c>
      <c r="AF15">
        <v>0</v>
      </c>
      <c r="AG15">
        <v>373222133.08499998</v>
      </c>
    </row>
    <row r="16" spans="1:33" x14ac:dyDescent="0.3">
      <c r="A16" s="2">
        <v>43678</v>
      </c>
      <c r="B16">
        <v>1282494</v>
      </c>
      <c r="C16">
        <v>675487</v>
      </c>
      <c r="D16">
        <v>32513</v>
      </c>
      <c r="E16">
        <v>1379</v>
      </c>
      <c r="F16">
        <v>251</v>
      </c>
      <c r="G16">
        <v>250</v>
      </c>
      <c r="H16">
        <v>0</v>
      </c>
      <c r="I16">
        <v>1</v>
      </c>
      <c r="J16">
        <v>36</v>
      </c>
      <c r="K16">
        <v>101</v>
      </c>
      <c r="L16">
        <v>0</v>
      </c>
      <c r="M16">
        <v>0</v>
      </c>
      <c r="N16">
        <v>17</v>
      </c>
      <c r="O16">
        <v>2</v>
      </c>
      <c r="P16">
        <v>1</v>
      </c>
      <c r="Q16">
        <v>1992281</v>
      </c>
      <c r="R16">
        <v>14607571.960000003</v>
      </c>
      <c r="S16">
        <v>13753001.059999995</v>
      </c>
      <c r="T16">
        <v>13496474.820000006</v>
      </c>
      <c r="U16">
        <v>260619968.29999998</v>
      </c>
      <c r="V16">
        <v>18694354.170000006</v>
      </c>
      <c r="W16">
        <v>18691791.047999993</v>
      </c>
      <c r="X16">
        <v>0</v>
      </c>
      <c r="Y16">
        <v>2563.13</v>
      </c>
      <c r="Z16">
        <v>27333876.759999998</v>
      </c>
      <c r="AA16">
        <v>413305.68999999587</v>
      </c>
      <c r="AB16">
        <v>0</v>
      </c>
      <c r="AC16">
        <v>0</v>
      </c>
      <c r="AD16">
        <v>36754426.340000004</v>
      </c>
      <c r="AE16">
        <v>382528.18</v>
      </c>
      <c r="AF16">
        <v>0</v>
      </c>
      <c r="AG16">
        <v>386055507.28799993</v>
      </c>
    </row>
    <row r="17" spans="1:33" x14ac:dyDescent="0.3">
      <c r="A17" s="2">
        <v>43709</v>
      </c>
      <c r="B17">
        <v>1289280</v>
      </c>
      <c r="C17">
        <v>657797</v>
      </c>
      <c r="D17">
        <v>31978</v>
      </c>
      <c r="E17">
        <v>1358</v>
      </c>
      <c r="F17">
        <v>244</v>
      </c>
      <c r="G17">
        <v>243</v>
      </c>
      <c r="H17">
        <v>0</v>
      </c>
      <c r="I17">
        <v>1</v>
      </c>
      <c r="J17">
        <v>34</v>
      </c>
      <c r="K17">
        <v>87</v>
      </c>
      <c r="L17">
        <v>0</v>
      </c>
      <c r="M17">
        <v>0</v>
      </c>
      <c r="N17">
        <v>19</v>
      </c>
      <c r="O17">
        <v>2</v>
      </c>
      <c r="P17">
        <v>1</v>
      </c>
      <c r="Q17">
        <v>1980800</v>
      </c>
      <c r="R17">
        <v>14881907.699999996</v>
      </c>
      <c r="S17">
        <v>13966509.039999999</v>
      </c>
      <c r="T17">
        <v>13306523.099999992</v>
      </c>
      <c r="U17">
        <v>250462396.63000003</v>
      </c>
      <c r="V17">
        <v>17276681.819999997</v>
      </c>
      <c r="W17">
        <v>17254390.656000003</v>
      </c>
      <c r="X17">
        <v>0</v>
      </c>
      <c r="Y17">
        <v>22291.17</v>
      </c>
      <c r="Z17">
        <v>26347043.179999996</v>
      </c>
      <c r="AA17">
        <v>523762.49999999994</v>
      </c>
      <c r="AB17">
        <v>0</v>
      </c>
      <c r="AC17">
        <v>0</v>
      </c>
      <c r="AD17">
        <v>35522687.569999993</v>
      </c>
      <c r="AE17">
        <v>314094.63</v>
      </c>
      <c r="AF17">
        <v>0</v>
      </c>
      <c r="AG17">
        <v>372601606.17600006</v>
      </c>
    </row>
    <row r="18" spans="1:33" x14ac:dyDescent="0.3">
      <c r="A18" s="2">
        <v>43739</v>
      </c>
      <c r="B18">
        <v>1298611</v>
      </c>
      <c r="C18">
        <v>655788</v>
      </c>
      <c r="D18">
        <v>31909</v>
      </c>
      <c r="E18">
        <v>1363</v>
      </c>
      <c r="F18">
        <v>253</v>
      </c>
      <c r="G18">
        <v>252</v>
      </c>
      <c r="H18">
        <v>0</v>
      </c>
      <c r="I18">
        <v>1</v>
      </c>
      <c r="J18">
        <v>39</v>
      </c>
      <c r="K18">
        <v>97</v>
      </c>
      <c r="L18">
        <v>0</v>
      </c>
      <c r="M18">
        <v>0</v>
      </c>
      <c r="N18">
        <v>17</v>
      </c>
      <c r="O18">
        <v>2</v>
      </c>
      <c r="P18">
        <v>1</v>
      </c>
      <c r="Q18">
        <v>1988080</v>
      </c>
      <c r="R18">
        <v>12919795.560000006</v>
      </c>
      <c r="S18">
        <v>12056363.099999994</v>
      </c>
      <c r="T18">
        <v>12981670.440000001</v>
      </c>
      <c r="U18">
        <v>270568281.82000005</v>
      </c>
      <c r="V18">
        <v>17865420.310000002</v>
      </c>
      <c r="W18">
        <v>17841114.304000005</v>
      </c>
      <c r="X18">
        <v>0</v>
      </c>
      <c r="Y18">
        <v>24306.01</v>
      </c>
      <c r="Z18">
        <v>27120198.300000001</v>
      </c>
      <c r="AA18">
        <v>767465.93</v>
      </c>
      <c r="AB18">
        <v>0</v>
      </c>
      <c r="AC18">
        <v>0</v>
      </c>
      <c r="AD18">
        <v>34754886.559999995</v>
      </c>
      <c r="AE18">
        <v>345874.7</v>
      </c>
      <c r="AF18">
        <v>0</v>
      </c>
      <c r="AG18">
        <v>389379956.7240001</v>
      </c>
    </row>
    <row r="19" spans="1:33" x14ac:dyDescent="0.3">
      <c r="A19" s="2">
        <v>43770</v>
      </c>
      <c r="B19">
        <v>1300369</v>
      </c>
      <c r="C19">
        <v>660668</v>
      </c>
      <c r="D19">
        <v>31632</v>
      </c>
      <c r="E19">
        <v>1366</v>
      </c>
      <c r="F19">
        <v>243</v>
      </c>
      <c r="G19">
        <v>242</v>
      </c>
      <c r="H19">
        <v>0</v>
      </c>
      <c r="I19">
        <v>1</v>
      </c>
      <c r="J19">
        <v>44</v>
      </c>
      <c r="K19">
        <v>85</v>
      </c>
      <c r="L19">
        <v>0</v>
      </c>
      <c r="M19">
        <v>0</v>
      </c>
      <c r="N19">
        <v>17</v>
      </c>
      <c r="O19">
        <v>2</v>
      </c>
      <c r="P19">
        <v>1</v>
      </c>
      <c r="Q19">
        <v>1994427</v>
      </c>
      <c r="R19">
        <v>11693345.99</v>
      </c>
      <c r="S19">
        <v>10583416.950000003</v>
      </c>
      <c r="T19">
        <v>12403915.119999992</v>
      </c>
      <c r="U19">
        <v>265490260.47000006</v>
      </c>
      <c r="V19">
        <v>18138549.469999999</v>
      </c>
      <c r="W19">
        <v>18112592.180000007</v>
      </c>
      <c r="X19">
        <v>0</v>
      </c>
      <c r="Y19">
        <v>25957.29</v>
      </c>
      <c r="Z19">
        <v>28711328.219999995</v>
      </c>
      <c r="AA19">
        <v>926947.69000000006</v>
      </c>
      <c r="AB19">
        <v>0</v>
      </c>
      <c r="AC19">
        <v>0</v>
      </c>
      <c r="AD19">
        <v>35126259.789999999</v>
      </c>
      <c r="AE19">
        <v>395671.12</v>
      </c>
      <c r="AF19">
        <v>0</v>
      </c>
      <c r="AG19">
        <v>383469694.82000005</v>
      </c>
    </row>
    <row r="20" spans="1:33" x14ac:dyDescent="0.3">
      <c r="A20" s="2">
        <v>43800</v>
      </c>
      <c r="B20">
        <v>1307446</v>
      </c>
      <c r="C20">
        <v>659715</v>
      </c>
      <c r="D20">
        <v>31943</v>
      </c>
      <c r="E20">
        <v>1403</v>
      </c>
      <c r="F20">
        <v>248</v>
      </c>
      <c r="G20">
        <v>247</v>
      </c>
      <c r="H20">
        <v>0</v>
      </c>
      <c r="I20">
        <v>1</v>
      </c>
      <c r="J20">
        <v>41</v>
      </c>
      <c r="K20">
        <v>84</v>
      </c>
      <c r="L20">
        <v>0</v>
      </c>
      <c r="M20">
        <v>0</v>
      </c>
      <c r="N20">
        <v>19</v>
      </c>
      <c r="O20">
        <v>2</v>
      </c>
      <c r="P20">
        <v>1</v>
      </c>
      <c r="Q20">
        <v>2000902</v>
      </c>
      <c r="R20">
        <v>12575429.729999999</v>
      </c>
      <c r="S20">
        <v>11620419.91</v>
      </c>
      <c r="T20">
        <v>12651463.209999999</v>
      </c>
      <c r="U20">
        <v>249837840.91000006</v>
      </c>
      <c r="V20">
        <v>17848026.339999996</v>
      </c>
      <c r="W20">
        <v>17833543.25</v>
      </c>
      <c r="X20">
        <v>0</v>
      </c>
      <c r="Y20">
        <v>14483.09</v>
      </c>
      <c r="Z20">
        <v>28791992.779999994</v>
      </c>
      <c r="AA20">
        <v>853218.00999999989</v>
      </c>
      <c r="AB20">
        <v>0</v>
      </c>
      <c r="AC20">
        <v>0</v>
      </c>
      <c r="AD20">
        <v>33569229.780000001</v>
      </c>
      <c r="AE20">
        <v>312084.39</v>
      </c>
      <c r="AF20">
        <v>0</v>
      </c>
      <c r="AG20">
        <v>368059705.05999994</v>
      </c>
    </row>
    <row r="21" spans="1:33" x14ac:dyDescent="0.3">
      <c r="A21" s="2">
        <v>43831</v>
      </c>
      <c r="B21">
        <v>1325080</v>
      </c>
      <c r="C21">
        <v>669491</v>
      </c>
      <c r="D21">
        <v>32477</v>
      </c>
      <c r="E21">
        <v>1415</v>
      </c>
      <c r="F21">
        <v>248</v>
      </c>
      <c r="G21">
        <v>248</v>
      </c>
      <c r="H21">
        <v>0</v>
      </c>
      <c r="I21">
        <v>0</v>
      </c>
      <c r="J21">
        <v>37</v>
      </c>
      <c r="K21">
        <v>90</v>
      </c>
      <c r="L21">
        <v>0</v>
      </c>
      <c r="M21">
        <v>0</v>
      </c>
      <c r="N21">
        <v>21</v>
      </c>
      <c r="O21">
        <v>2</v>
      </c>
      <c r="P21">
        <v>1</v>
      </c>
      <c r="Q21">
        <v>2028862</v>
      </c>
      <c r="R21">
        <v>11076018.020000005</v>
      </c>
      <c r="S21">
        <v>10331433.470000001</v>
      </c>
      <c r="T21">
        <v>12245528.080000004</v>
      </c>
      <c r="U21">
        <v>230246402.25</v>
      </c>
      <c r="V21">
        <v>15668460.890000001</v>
      </c>
      <c r="W21">
        <v>15668460.892999997</v>
      </c>
      <c r="X21">
        <v>0</v>
      </c>
      <c r="Y21">
        <v>0</v>
      </c>
      <c r="Z21">
        <v>30969981.27</v>
      </c>
      <c r="AA21">
        <v>1052350.8699999999</v>
      </c>
      <c r="AB21">
        <v>0</v>
      </c>
      <c r="AC21">
        <v>0</v>
      </c>
      <c r="AD21">
        <v>32654254.390000001</v>
      </c>
      <c r="AE21">
        <v>289162.78000000003</v>
      </c>
      <c r="AF21">
        <v>0</v>
      </c>
      <c r="AG21">
        <v>344533592.02299994</v>
      </c>
    </row>
    <row r="22" spans="1:33" x14ac:dyDescent="0.3">
      <c r="A22" s="2">
        <v>43862</v>
      </c>
      <c r="B22">
        <v>1320791</v>
      </c>
      <c r="C22">
        <v>673848</v>
      </c>
      <c r="D22">
        <v>32238</v>
      </c>
      <c r="E22">
        <v>1404</v>
      </c>
      <c r="F22">
        <v>249</v>
      </c>
      <c r="G22">
        <v>248</v>
      </c>
      <c r="H22">
        <v>0</v>
      </c>
      <c r="I22">
        <v>1</v>
      </c>
      <c r="J22">
        <v>33</v>
      </c>
      <c r="K22">
        <v>87</v>
      </c>
      <c r="L22">
        <v>0</v>
      </c>
      <c r="M22">
        <v>0</v>
      </c>
      <c r="N22">
        <v>17</v>
      </c>
      <c r="O22">
        <v>2</v>
      </c>
      <c r="P22">
        <v>1</v>
      </c>
      <c r="Q22">
        <v>2028670</v>
      </c>
      <c r="R22">
        <v>10384892.689999996</v>
      </c>
      <c r="S22">
        <v>8652740.4600000065</v>
      </c>
      <c r="T22">
        <v>11340716.540000001</v>
      </c>
      <c r="U22">
        <v>253489960.16999999</v>
      </c>
      <c r="V22">
        <v>17142240.129999999</v>
      </c>
      <c r="W22">
        <v>17094194.284000002</v>
      </c>
      <c r="X22">
        <v>0</v>
      </c>
      <c r="Y22">
        <v>48045.839999999989</v>
      </c>
      <c r="Z22">
        <v>19363126.280000001</v>
      </c>
      <c r="AA22">
        <v>997664.50999999989</v>
      </c>
      <c r="AB22">
        <v>0</v>
      </c>
      <c r="AC22">
        <v>0</v>
      </c>
      <c r="AD22">
        <v>36390925.509999998</v>
      </c>
      <c r="AE22">
        <v>345625.49</v>
      </c>
      <c r="AF22">
        <v>0</v>
      </c>
      <c r="AG22">
        <v>358107891.77399993</v>
      </c>
    </row>
    <row r="23" spans="1:33" x14ac:dyDescent="0.3">
      <c r="A23" s="2">
        <v>43891</v>
      </c>
      <c r="B23">
        <v>1321612</v>
      </c>
      <c r="C23">
        <v>663199</v>
      </c>
      <c r="D23">
        <v>31837</v>
      </c>
      <c r="E23">
        <v>1422</v>
      </c>
      <c r="F23">
        <v>252</v>
      </c>
      <c r="G23">
        <v>251</v>
      </c>
      <c r="H23">
        <v>0</v>
      </c>
      <c r="I23">
        <v>1</v>
      </c>
      <c r="J23">
        <v>34</v>
      </c>
      <c r="K23">
        <v>85</v>
      </c>
      <c r="L23">
        <v>0</v>
      </c>
      <c r="M23">
        <v>0</v>
      </c>
      <c r="N23">
        <v>18</v>
      </c>
      <c r="O23">
        <v>0</v>
      </c>
      <c r="P23">
        <v>0</v>
      </c>
      <c r="Q23">
        <v>2018459</v>
      </c>
      <c r="R23">
        <v>11783154.020000009</v>
      </c>
      <c r="S23">
        <v>10839464.360000007</v>
      </c>
      <c r="T23">
        <v>11796704.600000003</v>
      </c>
      <c r="U23">
        <v>258191136.55999985</v>
      </c>
      <c r="V23">
        <v>14182273.030000001</v>
      </c>
      <c r="W23">
        <v>14150106.956999989</v>
      </c>
      <c r="X23">
        <v>0</v>
      </c>
      <c r="Y23">
        <v>32166.080000000002</v>
      </c>
      <c r="Z23">
        <v>28395001.899999999</v>
      </c>
      <c r="AA23">
        <v>837554.05</v>
      </c>
      <c r="AB23">
        <v>0</v>
      </c>
      <c r="AC23">
        <v>0</v>
      </c>
      <c r="AD23">
        <v>34975267.590000004</v>
      </c>
      <c r="AE23">
        <v>0</v>
      </c>
      <c r="AF23">
        <v>0</v>
      </c>
      <c r="AG23">
        <v>371000556.11699986</v>
      </c>
    </row>
    <row r="24" spans="1:33" x14ac:dyDescent="0.3">
      <c r="A24" s="2">
        <v>43922</v>
      </c>
      <c r="B24">
        <v>1325322</v>
      </c>
      <c r="C24">
        <v>670764</v>
      </c>
      <c r="D24">
        <v>33490</v>
      </c>
      <c r="E24">
        <v>1462</v>
      </c>
      <c r="F24">
        <v>261</v>
      </c>
      <c r="G24">
        <v>260</v>
      </c>
      <c r="H24">
        <v>0</v>
      </c>
      <c r="I24">
        <v>1</v>
      </c>
      <c r="J24">
        <v>34</v>
      </c>
      <c r="K24">
        <v>87</v>
      </c>
      <c r="L24">
        <v>0</v>
      </c>
      <c r="M24">
        <v>0</v>
      </c>
      <c r="N24">
        <v>17</v>
      </c>
      <c r="O24">
        <v>6</v>
      </c>
      <c r="P24">
        <v>2</v>
      </c>
      <c r="Q24">
        <v>2031445</v>
      </c>
      <c r="R24">
        <v>13019530.570000006</v>
      </c>
      <c r="S24">
        <v>10730760.640000001</v>
      </c>
      <c r="T24">
        <v>8494249.6300000008</v>
      </c>
      <c r="U24">
        <v>202895436.26000008</v>
      </c>
      <c r="V24">
        <v>9748798.9499999993</v>
      </c>
      <c r="W24">
        <v>9739330.2329999991</v>
      </c>
      <c r="X24">
        <v>0</v>
      </c>
      <c r="Y24">
        <v>9468.7000000000007</v>
      </c>
      <c r="Z24">
        <v>23490640.189999998</v>
      </c>
      <c r="AA24">
        <v>555750.32999999577</v>
      </c>
      <c r="AB24">
        <v>0</v>
      </c>
      <c r="AC24">
        <v>0</v>
      </c>
      <c r="AD24">
        <v>29054212.969999995</v>
      </c>
      <c r="AE24">
        <v>609691.89</v>
      </c>
      <c r="AF24">
        <v>0</v>
      </c>
      <c r="AG24">
        <v>298599071.41300005</v>
      </c>
    </row>
    <row r="25" spans="1:33" x14ac:dyDescent="0.3">
      <c r="A25" s="2">
        <v>43952</v>
      </c>
      <c r="B25">
        <v>1326382</v>
      </c>
      <c r="C25">
        <v>693781</v>
      </c>
      <c r="D25">
        <v>36767</v>
      </c>
      <c r="E25">
        <v>1463</v>
      </c>
      <c r="F25">
        <v>256</v>
      </c>
      <c r="G25">
        <v>255</v>
      </c>
      <c r="H25">
        <v>0</v>
      </c>
      <c r="I25">
        <v>1</v>
      </c>
      <c r="J25">
        <v>37</v>
      </c>
      <c r="K25">
        <v>89</v>
      </c>
      <c r="L25">
        <v>0</v>
      </c>
      <c r="M25">
        <v>0</v>
      </c>
      <c r="N25">
        <v>17</v>
      </c>
      <c r="O25">
        <v>6</v>
      </c>
      <c r="P25">
        <v>1</v>
      </c>
      <c r="Q25">
        <v>2058799</v>
      </c>
      <c r="R25">
        <v>14353616.559999997</v>
      </c>
      <c r="S25">
        <v>11806951.229999995</v>
      </c>
      <c r="T25">
        <v>5777120.0000000019</v>
      </c>
      <c r="U25">
        <v>166369187.25000003</v>
      </c>
      <c r="V25">
        <v>8958901.3599999994</v>
      </c>
      <c r="W25">
        <v>8944842.3729999941</v>
      </c>
      <c r="X25">
        <v>0</v>
      </c>
      <c r="Y25">
        <v>14058.98</v>
      </c>
      <c r="Z25">
        <v>17037495.420000002</v>
      </c>
      <c r="AA25">
        <v>326125.77</v>
      </c>
      <c r="AB25">
        <v>0</v>
      </c>
      <c r="AC25">
        <v>0</v>
      </c>
      <c r="AD25">
        <v>25436934.460000001</v>
      </c>
      <c r="AE25">
        <v>207928.19</v>
      </c>
      <c r="AF25">
        <v>0</v>
      </c>
      <c r="AG25">
        <v>250274260.23300004</v>
      </c>
    </row>
    <row r="26" spans="1:33" x14ac:dyDescent="0.3">
      <c r="A26" s="2">
        <v>43983</v>
      </c>
      <c r="B26">
        <v>1333790</v>
      </c>
      <c r="C26">
        <v>687954</v>
      </c>
      <c r="D26">
        <v>37441</v>
      </c>
      <c r="E26">
        <v>1407</v>
      </c>
      <c r="F26">
        <v>237</v>
      </c>
      <c r="G26">
        <v>236</v>
      </c>
      <c r="H26">
        <v>0</v>
      </c>
      <c r="I26">
        <v>1</v>
      </c>
      <c r="J26">
        <v>37</v>
      </c>
      <c r="K26">
        <v>89</v>
      </c>
      <c r="L26">
        <v>0</v>
      </c>
      <c r="M26">
        <v>0</v>
      </c>
      <c r="N26">
        <v>16</v>
      </c>
      <c r="O26">
        <v>2</v>
      </c>
      <c r="P26">
        <v>1</v>
      </c>
      <c r="Q26">
        <v>2060974</v>
      </c>
      <c r="R26">
        <v>15429292.709999997</v>
      </c>
      <c r="S26">
        <v>13239228.930000005</v>
      </c>
      <c r="T26">
        <v>6403022.4200000018</v>
      </c>
      <c r="U26">
        <v>209259838.72000003</v>
      </c>
      <c r="V26">
        <v>10851497.209999999</v>
      </c>
      <c r="W26">
        <v>10834767.229000002</v>
      </c>
      <c r="X26">
        <v>0</v>
      </c>
      <c r="Y26">
        <v>16729.98</v>
      </c>
      <c r="Z26">
        <v>19375487.859999999</v>
      </c>
      <c r="AA26">
        <v>298947.62</v>
      </c>
      <c r="AB26">
        <v>0</v>
      </c>
      <c r="AC26">
        <v>0</v>
      </c>
      <c r="AD26">
        <v>25482684.240000002</v>
      </c>
      <c r="AE26">
        <v>286978.34000000003</v>
      </c>
      <c r="AF26">
        <v>0</v>
      </c>
      <c r="AG26">
        <v>300626978.04900002</v>
      </c>
    </row>
    <row r="27" spans="1:33" x14ac:dyDescent="0.3">
      <c r="A27" s="2">
        <v>44013</v>
      </c>
      <c r="B27">
        <v>1340191</v>
      </c>
      <c r="C27">
        <v>684640</v>
      </c>
      <c r="D27">
        <v>34790</v>
      </c>
      <c r="E27">
        <v>1479</v>
      </c>
      <c r="F27">
        <v>300</v>
      </c>
      <c r="G27">
        <v>299</v>
      </c>
      <c r="H27">
        <v>0</v>
      </c>
      <c r="I27">
        <v>1</v>
      </c>
      <c r="J27">
        <v>34</v>
      </c>
      <c r="K27">
        <v>92</v>
      </c>
      <c r="L27">
        <v>0</v>
      </c>
      <c r="M27">
        <v>0</v>
      </c>
      <c r="N27">
        <v>16</v>
      </c>
      <c r="O27">
        <v>2</v>
      </c>
      <c r="P27">
        <v>1</v>
      </c>
      <c r="Q27">
        <v>2061545</v>
      </c>
      <c r="R27">
        <v>14981536.649999989</v>
      </c>
      <c r="S27">
        <v>13085762.189999996</v>
      </c>
      <c r="T27">
        <v>6685109.6899999967</v>
      </c>
      <c r="U27">
        <v>243953274.30000007</v>
      </c>
      <c r="V27">
        <v>12843367.200000001</v>
      </c>
      <c r="W27">
        <v>12824282.522999991</v>
      </c>
      <c r="X27">
        <v>0</v>
      </c>
      <c r="Y27">
        <v>19084.68</v>
      </c>
      <c r="Z27">
        <v>21591198.459999997</v>
      </c>
      <c r="AA27">
        <v>370492.33999999991</v>
      </c>
      <c r="AB27">
        <v>0</v>
      </c>
      <c r="AC27">
        <v>0</v>
      </c>
      <c r="AD27">
        <v>20998719.310000002</v>
      </c>
      <c r="AE27">
        <v>314892.08</v>
      </c>
      <c r="AF27">
        <v>0</v>
      </c>
      <c r="AG27">
        <v>334824352.22299999</v>
      </c>
    </row>
    <row r="28" spans="1:33" x14ac:dyDescent="0.3">
      <c r="A28" s="2">
        <v>44044</v>
      </c>
      <c r="B28">
        <v>1341528</v>
      </c>
      <c r="C28">
        <v>722037</v>
      </c>
      <c r="D28">
        <v>33206</v>
      </c>
      <c r="E28">
        <v>1424</v>
      </c>
      <c r="F28">
        <v>240</v>
      </c>
      <c r="G28">
        <v>239</v>
      </c>
      <c r="H28">
        <v>0</v>
      </c>
      <c r="I28">
        <v>1</v>
      </c>
      <c r="J28">
        <v>34</v>
      </c>
      <c r="K28">
        <v>91</v>
      </c>
      <c r="L28">
        <v>0</v>
      </c>
      <c r="M28">
        <v>0</v>
      </c>
      <c r="N28">
        <v>15</v>
      </c>
      <c r="O28">
        <v>2</v>
      </c>
      <c r="P28">
        <v>1</v>
      </c>
      <c r="Q28">
        <v>2098578</v>
      </c>
      <c r="R28">
        <v>15126422.770000003</v>
      </c>
      <c r="S28">
        <v>13752769.950000001</v>
      </c>
      <c r="T28">
        <v>9067984</v>
      </c>
      <c r="U28">
        <v>274830111.4000001</v>
      </c>
      <c r="V28">
        <v>12629822.02</v>
      </c>
      <c r="W28">
        <v>12612498.981999999</v>
      </c>
      <c r="X28">
        <v>0</v>
      </c>
      <c r="Y28">
        <v>17323.04</v>
      </c>
      <c r="Z28">
        <v>20615007.970000003</v>
      </c>
      <c r="AA28">
        <v>378221.62</v>
      </c>
      <c r="AB28">
        <v>0</v>
      </c>
      <c r="AC28">
        <v>0</v>
      </c>
      <c r="AD28">
        <v>25197896.689999998</v>
      </c>
      <c r="AE28">
        <v>379095.59</v>
      </c>
      <c r="AF28">
        <v>0</v>
      </c>
      <c r="AG28">
        <v>371977332.01200014</v>
      </c>
    </row>
    <row r="29" spans="1:33" x14ac:dyDescent="0.3">
      <c r="A29" s="2">
        <v>44075</v>
      </c>
      <c r="B29">
        <v>1351714</v>
      </c>
      <c r="C29">
        <v>696694</v>
      </c>
      <c r="D29">
        <v>32842</v>
      </c>
      <c r="E29">
        <v>1400</v>
      </c>
      <c r="F29">
        <v>234</v>
      </c>
      <c r="G29">
        <v>233</v>
      </c>
      <c r="H29">
        <v>0</v>
      </c>
      <c r="I29">
        <v>1</v>
      </c>
      <c r="J29">
        <v>35</v>
      </c>
      <c r="K29">
        <v>90</v>
      </c>
      <c r="L29">
        <v>0</v>
      </c>
      <c r="M29">
        <v>0</v>
      </c>
      <c r="N29">
        <v>14</v>
      </c>
      <c r="O29">
        <v>2</v>
      </c>
      <c r="P29">
        <v>1</v>
      </c>
      <c r="Q29">
        <v>2083026</v>
      </c>
      <c r="R29">
        <v>15128241.469999997</v>
      </c>
      <c r="S29">
        <v>13783462.879999995</v>
      </c>
      <c r="T29">
        <v>8174633.1100000003</v>
      </c>
      <c r="U29">
        <v>272446496.34999996</v>
      </c>
      <c r="V29">
        <v>12959327.870000003</v>
      </c>
      <c r="W29">
        <v>12942774.971999988</v>
      </c>
      <c r="X29">
        <v>0</v>
      </c>
      <c r="Y29">
        <v>16552.900000000001</v>
      </c>
      <c r="Z29">
        <v>29526687.820000004</v>
      </c>
      <c r="AA29">
        <v>434250.56000000006</v>
      </c>
      <c r="AB29">
        <v>0</v>
      </c>
      <c r="AC29">
        <v>0</v>
      </c>
      <c r="AD29">
        <v>25073169.300000001</v>
      </c>
      <c r="AE29">
        <v>363387.06</v>
      </c>
      <c r="AF29">
        <v>0</v>
      </c>
      <c r="AG29">
        <v>377889656.42199993</v>
      </c>
    </row>
    <row r="30" spans="1:33" x14ac:dyDescent="0.3">
      <c r="A30" s="2">
        <v>44105</v>
      </c>
      <c r="B30">
        <v>1353651</v>
      </c>
      <c r="C30">
        <v>700736</v>
      </c>
      <c r="D30">
        <v>32178</v>
      </c>
      <c r="E30">
        <v>1417</v>
      </c>
      <c r="F30">
        <v>255</v>
      </c>
      <c r="G30">
        <v>254</v>
      </c>
      <c r="H30">
        <v>0</v>
      </c>
      <c r="I30">
        <v>1</v>
      </c>
      <c r="J30">
        <v>36</v>
      </c>
      <c r="K30">
        <v>93</v>
      </c>
      <c r="L30">
        <v>0</v>
      </c>
      <c r="M30">
        <v>0</v>
      </c>
      <c r="N30">
        <v>14</v>
      </c>
      <c r="O30">
        <v>2</v>
      </c>
      <c r="P30">
        <v>1</v>
      </c>
      <c r="Q30">
        <v>2088383</v>
      </c>
      <c r="R30">
        <v>12833338.459999993</v>
      </c>
      <c r="S30">
        <v>11526998.709999999</v>
      </c>
      <c r="T30">
        <v>9383726.7400000058</v>
      </c>
      <c r="U30">
        <v>278374270.79000008</v>
      </c>
      <c r="V30">
        <v>14757014.949999997</v>
      </c>
      <c r="W30">
        <v>14734341.919000003</v>
      </c>
      <c r="X30">
        <v>0</v>
      </c>
      <c r="Y30">
        <v>22673.03</v>
      </c>
      <c r="Z30">
        <v>33332089.84</v>
      </c>
      <c r="AA30">
        <v>625685.59</v>
      </c>
      <c r="AB30">
        <v>0</v>
      </c>
      <c r="AC30">
        <v>0</v>
      </c>
      <c r="AD30">
        <v>24978671.609999999</v>
      </c>
      <c r="AE30">
        <v>381706.68</v>
      </c>
      <c r="AF30">
        <v>0</v>
      </c>
      <c r="AG30">
        <v>386193503.36900002</v>
      </c>
    </row>
    <row r="31" spans="1:33" x14ac:dyDescent="0.3">
      <c r="A31" s="2">
        <v>44136</v>
      </c>
      <c r="B31">
        <v>1356261</v>
      </c>
      <c r="C31">
        <v>703051</v>
      </c>
      <c r="D31">
        <v>32097</v>
      </c>
      <c r="E31">
        <v>1423</v>
      </c>
      <c r="F31">
        <v>234</v>
      </c>
      <c r="G31">
        <v>233</v>
      </c>
      <c r="H31">
        <v>0</v>
      </c>
      <c r="I31">
        <v>1</v>
      </c>
      <c r="J31">
        <v>36</v>
      </c>
      <c r="K31">
        <v>91</v>
      </c>
      <c r="L31">
        <v>0</v>
      </c>
      <c r="M31">
        <v>0</v>
      </c>
      <c r="N31">
        <v>14</v>
      </c>
      <c r="O31">
        <v>32</v>
      </c>
      <c r="P31">
        <v>1</v>
      </c>
      <c r="Q31">
        <v>2093240</v>
      </c>
      <c r="R31">
        <v>13578387.789999995</v>
      </c>
      <c r="S31">
        <v>12630442.1</v>
      </c>
      <c r="T31">
        <v>10391897.579999998</v>
      </c>
      <c r="U31">
        <v>291472124.78999996</v>
      </c>
      <c r="V31">
        <v>14338155.109999999</v>
      </c>
      <c r="W31">
        <v>14315364.717000006</v>
      </c>
      <c r="X31">
        <v>0</v>
      </c>
      <c r="Y31">
        <v>22790.38</v>
      </c>
      <c r="Z31">
        <v>36681077.710000001</v>
      </c>
      <c r="AA31">
        <v>687198.21000000008</v>
      </c>
      <c r="AB31">
        <v>0</v>
      </c>
      <c r="AC31">
        <v>0</v>
      </c>
      <c r="AD31">
        <v>25584022.970000003</v>
      </c>
      <c r="AE31">
        <v>290799.65000000002</v>
      </c>
      <c r="AF31">
        <v>0</v>
      </c>
      <c r="AG31">
        <v>405654105.8969999</v>
      </c>
    </row>
    <row r="32" spans="1:33" x14ac:dyDescent="0.3">
      <c r="A32" s="2">
        <v>44166</v>
      </c>
      <c r="B32">
        <v>1360923</v>
      </c>
      <c r="C32">
        <v>705005</v>
      </c>
      <c r="D32">
        <v>31700</v>
      </c>
      <c r="E32">
        <v>1436</v>
      </c>
      <c r="F32">
        <v>232</v>
      </c>
      <c r="G32">
        <v>231</v>
      </c>
      <c r="H32">
        <v>0</v>
      </c>
      <c r="I32">
        <v>1</v>
      </c>
      <c r="J32">
        <v>36</v>
      </c>
      <c r="K32">
        <v>91</v>
      </c>
      <c r="L32">
        <v>0</v>
      </c>
      <c r="M32">
        <v>0</v>
      </c>
      <c r="N32">
        <v>14</v>
      </c>
      <c r="O32">
        <v>2</v>
      </c>
      <c r="P32">
        <v>1</v>
      </c>
      <c r="Q32">
        <v>2099440</v>
      </c>
      <c r="R32">
        <v>11905747.689999998</v>
      </c>
      <c r="S32">
        <v>10761151.799999997</v>
      </c>
      <c r="T32">
        <v>9526897.0799999945</v>
      </c>
      <c r="U32">
        <v>291356168.86999995</v>
      </c>
      <c r="V32">
        <v>14711509.199999999</v>
      </c>
      <c r="W32">
        <v>14687191.962999996</v>
      </c>
      <c r="X32">
        <v>0</v>
      </c>
      <c r="Y32">
        <v>24317.24</v>
      </c>
      <c r="Z32">
        <v>40625557.07</v>
      </c>
      <c r="AA32">
        <v>814837.85000000009</v>
      </c>
      <c r="AB32">
        <v>0</v>
      </c>
      <c r="AC32">
        <v>0</v>
      </c>
      <c r="AD32">
        <v>24591359.550000001</v>
      </c>
      <c r="AE32">
        <v>309366.05</v>
      </c>
      <c r="AF32">
        <v>0</v>
      </c>
      <c r="AG32">
        <v>404602595.16299999</v>
      </c>
    </row>
    <row r="33" spans="1:33" x14ac:dyDescent="0.3">
      <c r="A33" s="2">
        <v>44197</v>
      </c>
      <c r="B33">
        <v>1372130</v>
      </c>
      <c r="C33">
        <v>711621</v>
      </c>
      <c r="D33">
        <v>31986</v>
      </c>
      <c r="E33">
        <v>1477</v>
      </c>
      <c r="F33">
        <v>233</v>
      </c>
      <c r="G33">
        <v>232</v>
      </c>
      <c r="H33">
        <v>0</v>
      </c>
      <c r="I33">
        <v>1</v>
      </c>
      <c r="J33">
        <v>38</v>
      </c>
      <c r="K33">
        <v>91</v>
      </c>
      <c r="L33">
        <v>0</v>
      </c>
      <c r="M33">
        <v>0</v>
      </c>
      <c r="N33">
        <v>16</v>
      </c>
      <c r="O33">
        <v>2</v>
      </c>
      <c r="P33">
        <v>1</v>
      </c>
      <c r="Q33">
        <v>2117595</v>
      </c>
      <c r="R33">
        <v>11707378.669999998</v>
      </c>
      <c r="S33">
        <v>10168091.349999994</v>
      </c>
      <c r="T33">
        <v>9025184.1300000008</v>
      </c>
      <c r="U33">
        <v>280871178.05999994</v>
      </c>
      <c r="V33">
        <v>12070989.829999998</v>
      </c>
      <c r="W33">
        <v>12050495.536000006</v>
      </c>
      <c r="X33">
        <v>0</v>
      </c>
      <c r="Y33">
        <v>20494.29</v>
      </c>
      <c r="Z33">
        <v>37157956.459999993</v>
      </c>
      <c r="AA33">
        <v>863224.39</v>
      </c>
      <c r="AB33">
        <v>0</v>
      </c>
      <c r="AC33">
        <v>0</v>
      </c>
      <c r="AD33">
        <v>25995180.259999998</v>
      </c>
      <c r="AE33">
        <v>256657.66</v>
      </c>
      <c r="AF33">
        <v>0</v>
      </c>
      <c r="AG33">
        <v>388115840.80599993</v>
      </c>
    </row>
    <row r="34" spans="1:33" x14ac:dyDescent="0.3">
      <c r="A34" s="2">
        <v>44228</v>
      </c>
      <c r="B34">
        <v>1380269</v>
      </c>
      <c r="C34">
        <v>711572</v>
      </c>
      <c r="D34">
        <v>31751</v>
      </c>
      <c r="E34">
        <v>1471</v>
      </c>
      <c r="F34">
        <v>241</v>
      </c>
      <c r="G34">
        <v>240</v>
      </c>
      <c r="H34">
        <v>0</v>
      </c>
      <c r="I34">
        <v>1</v>
      </c>
      <c r="J34">
        <v>40</v>
      </c>
      <c r="K34">
        <v>90</v>
      </c>
      <c r="L34">
        <v>0</v>
      </c>
      <c r="M34">
        <v>0</v>
      </c>
      <c r="N34">
        <v>14</v>
      </c>
      <c r="O34">
        <v>2</v>
      </c>
      <c r="P34">
        <v>1</v>
      </c>
      <c r="Q34">
        <v>2125451</v>
      </c>
      <c r="R34">
        <v>10549026.800000004</v>
      </c>
      <c r="S34">
        <v>9102770.4399999864</v>
      </c>
      <c r="T34">
        <v>8802231.4499999974</v>
      </c>
      <c r="U34">
        <v>277148823.86999995</v>
      </c>
      <c r="V34">
        <v>13928900.109999999</v>
      </c>
      <c r="W34">
        <v>13904675.049000006</v>
      </c>
      <c r="X34">
        <v>0</v>
      </c>
      <c r="Y34">
        <v>24225.06</v>
      </c>
      <c r="Z34">
        <v>37003075.780000001</v>
      </c>
      <c r="AA34">
        <v>866152.59</v>
      </c>
      <c r="AB34">
        <v>0</v>
      </c>
      <c r="AC34">
        <v>0</v>
      </c>
      <c r="AD34">
        <v>24269034.289999999</v>
      </c>
      <c r="AE34">
        <v>281144.46000000002</v>
      </c>
      <c r="AF34">
        <v>0</v>
      </c>
      <c r="AG34">
        <v>381951159.78899997</v>
      </c>
    </row>
    <row r="35" spans="1:33" x14ac:dyDescent="0.3">
      <c r="A35" s="2">
        <v>44256</v>
      </c>
      <c r="B35">
        <v>1389720</v>
      </c>
      <c r="C35">
        <v>715216</v>
      </c>
      <c r="D35">
        <v>31879</v>
      </c>
      <c r="E35">
        <v>1481</v>
      </c>
      <c r="F35">
        <v>243</v>
      </c>
      <c r="G35">
        <v>242</v>
      </c>
      <c r="H35">
        <v>0</v>
      </c>
      <c r="I35">
        <v>1</v>
      </c>
      <c r="J35">
        <v>37</v>
      </c>
      <c r="K35">
        <v>96</v>
      </c>
      <c r="L35">
        <v>0</v>
      </c>
      <c r="M35">
        <v>0</v>
      </c>
      <c r="N35">
        <v>14</v>
      </c>
      <c r="O35">
        <v>4</v>
      </c>
      <c r="P35">
        <v>1</v>
      </c>
      <c r="Q35">
        <v>2138691</v>
      </c>
      <c r="R35">
        <v>10965326.610000005</v>
      </c>
      <c r="S35">
        <v>9547056.8400000054</v>
      </c>
      <c r="T35">
        <v>8312164.0299999965</v>
      </c>
      <c r="U35">
        <v>264010621.41999999</v>
      </c>
      <c r="V35">
        <v>13862641.41</v>
      </c>
      <c r="W35">
        <v>13841055.555000002</v>
      </c>
      <c r="X35">
        <v>0</v>
      </c>
      <c r="Y35">
        <v>21585.84</v>
      </c>
      <c r="Z35">
        <v>31256609.140000001</v>
      </c>
      <c r="AA35">
        <v>793458.96000000008</v>
      </c>
      <c r="AB35">
        <v>0</v>
      </c>
      <c r="AC35">
        <v>0</v>
      </c>
      <c r="AD35">
        <v>22795058.600000001</v>
      </c>
      <c r="AE35">
        <v>288684.34999999998</v>
      </c>
      <c r="AF35">
        <v>0</v>
      </c>
      <c r="AG35">
        <v>361831621.34499997</v>
      </c>
    </row>
    <row r="36" spans="1:33" x14ac:dyDescent="0.3">
      <c r="A36" s="2">
        <v>44287</v>
      </c>
      <c r="B36">
        <v>1391780</v>
      </c>
      <c r="C36">
        <v>719979</v>
      </c>
      <c r="D36">
        <v>32192</v>
      </c>
      <c r="E36">
        <v>1473</v>
      </c>
      <c r="F36">
        <v>236</v>
      </c>
      <c r="G36">
        <v>235</v>
      </c>
      <c r="H36">
        <v>0</v>
      </c>
      <c r="I36">
        <v>1</v>
      </c>
      <c r="J36">
        <v>35</v>
      </c>
      <c r="K36">
        <v>95</v>
      </c>
      <c r="L36">
        <v>0</v>
      </c>
      <c r="M36">
        <v>0</v>
      </c>
      <c r="N36">
        <v>14</v>
      </c>
      <c r="O36">
        <v>2</v>
      </c>
      <c r="P36">
        <v>1</v>
      </c>
      <c r="Q36">
        <v>2145807</v>
      </c>
      <c r="R36">
        <v>12749269.399999999</v>
      </c>
      <c r="S36">
        <v>10818849.419999991</v>
      </c>
      <c r="T36">
        <v>7485609.8699999992</v>
      </c>
      <c r="U36">
        <v>285739285.19999999</v>
      </c>
      <c r="V36">
        <v>13930569.989999998</v>
      </c>
      <c r="W36">
        <v>13902952.92</v>
      </c>
      <c r="X36">
        <v>0</v>
      </c>
      <c r="Y36">
        <v>27617.08</v>
      </c>
      <c r="Z36">
        <v>31578364.34</v>
      </c>
      <c r="AA36">
        <v>627703.49</v>
      </c>
      <c r="AB36">
        <v>0</v>
      </c>
      <c r="AC36">
        <v>0</v>
      </c>
      <c r="AD36">
        <v>25368431.129999995</v>
      </c>
      <c r="AE36">
        <v>300562.09999999998</v>
      </c>
      <c r="AF36">
        <v>0</v>
      </c>
      <c r="AG36">
        <v>388598644.94999999</v>
      </c>
    </row>
    <row r="37" spans="1:33" x14ac:dyDescent="0.3">
      <c r="A37" s="2">
        <v>44317</v>
      </c>
      <c r="B37">
        <v>1393580</v>
      </c>
      <c r="C37">
        <v>728984</v>
      </c>
      <c r="D37">
        <v>32536</v>
      </c>
      <c r="E37">
        <v>1476</v>
      </c>
      <c r="F37">
        <v>242</v>
      </c>
      <c r="G37">
        <v>241</v>
      </c>
      <c r="H37">
        <v>0</v>
      </c>
      <c r="I37">
        <v>1</v>
      </c>
      <c r="J37">
        <v>36</v>
      </c>
      <c r="K37">
        <v>105</v>
      </c>
      <c r="L37">
        <v>0</v>
      </c>
      <c r="M37">
        <v>0</v>
      </c>
      <c r="N37">
        <v>14</v>
      </c>
      <c r="O37">
        <v>2</v>
      </c>
      <c r="P37">
        <v>1</v>
      </c>
      <c r="Q37">
        <v>2156976</v>
      </c>
      <c r="R37">
        <v>13702902.630000005</v>
      </c>
      <c r="S37">
        <v>12761227.739999993</v>
      </c>
      <c r="T37">
        <v>8485498.0799999963</v>
      </c>
      <c r="U37">
        <v>279632663.42000002</v>
      </c>
      <c r="V37">
        <v>15208677.24</v>
      </c>
      <c r="W37">
        <v>15184228.751</v>
      </c>
      <c r="X37">
        <v>0</v>
      </c>
      <c r="Y37">
        <v>24448.49</v>
      </c>
      <c r="Z37">
        <v>29947424.350000001</v>
      </c>
      <c r="AA37">
        <v>451058.93</v>
      </c>
      <c r="AB37">
        <v>0</v>
      </c>
      <c r="AC37">
        <v>0</v>
      </c>
      <c r="AD37">
        <v>25634721.969999999</v>
      </c>
      <c r="AE37">
        <v>291679.37</v>
      </c>
      <c r="AF37">
        <v>0</v>
      </c>
      <c r="AG37">
        <v>386115853.73100007</v>
      </c>
    </row>
    <row r="38" spans="1:33" x14ac:dyDescent="0.3">
      <c r="A38" s="2">
        <v>44348</v>
      </c>
      <c r="B38">
        <v>1410524</v>
      </c>
      <c r="C38">
        <v>726546</v>
      </c>
      <c r="D38">
        <v>32534</v>
      </c>
      <c r="E38">
        <v>1498</v>
      </c>
      <c r="F38">
        <v>228</v>
      </c>
      <c r="G38">
        <v>227</v>
      </c>
      <c r="H38">
        <v>0</v>
      </c>
      <c r="I38">
        <v>1</v>
      </c>
      <c r="J38">
        <v>40</v>
      </c>
      <c r="K38">
        <v>97</v>
      </c>
      <c r="L38">
        <v>0</v>
      </c>
      <c r="M38">
        <v>0</v>
      </c>
      <c r="N38">
        <v>12</v>
      </c>
      <c r="O38">
        <v>2</v>
      </c>
      <c r="P38">
        <v>1</v>
      </c>
      <c r="Q38">
        <v>2171482</v>
      </c>
      <c r="R38">
        <v>15625297.299999988</v>
      </c>
      <c r="S38">
        <v>14820543.179999998</v>
      </c>
      <c r="T38">
        <v>10711336.929999998</v>
      </c>
      <c r="U38">
        <v>293317663.28999984</v>
      </c>
      <c r="V38">
        <v>16569174.67</v>
      </c>
      <c r="W38">
        <v>16544795.397</v>
      </c>
      <c r="X38">
        <v>0</v>
      </c>
      <c r="Y38">
        <v>24379.27</v>
      </c>
      <c r="Z38">
        <v>35849039.699999988</v>
      </c>
      <c r="AA38">
        <v>442660.70999999996</v>
      </c>
      <c r="AB38">
        <v>0</v>
      </c>
      <c r="AC38">
        <v>0</v>
      </c>
      <c r="AD38">
        <v>22022328.900000002</v>
      </c>
      <c r="AE38">
        <v>275883.43</v>
      </c>
      <c r="AF38">
        <v>0</v>
      </c>
      <c r="AG38">
        <v>409633928.10699975</v>
      </c>
    </row>
    <row r="39" spans="1:33" x14ac:dyDescent="0.3">
      <c r="A39" s="2">
        <v>44378</v>
      </c>
      <c r="B39">
        <v>1413802</v>
      </c>
      <c r="C39">
        <v>740826</v>
      </c>
      <c r="D39">
        <v>31912</v>
      </c>
      <c r="E39">
        <v>1515</v>
      </c>
      <c r="F39">
        <v>240</v>
      </c>
      <c r="G39">
        <v>239</v>
      </c>
      <c r="H39">
        <v>0</v>
      </c>
      <c r="I39">
        <v>1</v>
      </c>
      <c r="J39">
        <v>40</v>
      </c>
      <c r="K39">
        <v>95</v>
      </c>
      <c r="L39">
        <v>0</v>
      </c>
      <c r="M39">
        <v>0</v>
      </c>
      <c r="N39">
        <v>12</v>
      </c>
      <c r="O39">
        <v>10</v>
      </c>
      <c r="P39">
        <v>1</v>
      </c>
      <c r="Q39">
        <v>2188453</v>
      </c>
      <c r="R39">
        <v>15218901.16</v>
      </c>
      <c r="S39">
        <v>14601283.819999991</v>
      </c>
      <c r="T39">
        <v>10480297.959999999</v>
      </c>
      <c r="U39">
        <v>300818201.3900001</v>
      </c>
      <c r="V39">
        <v>16928065.27</v>
      </c>
      <c r="W39">
        <v>16874178.391999986</v>
      </c>
      <c r="X39">
        <v>0</v>
      </c>
      <c r="Y39">
        <v>53886.866999999998</v>
      </c>
      <c r="Z39">
        <v>36968870.5</v>
      </c>
      <c r="AA39">
        <v>337211.22000000003</v>
      </c>
      <c r="AB39">
        <v>0</v>
      </c>
      <c r="AC39">
        <v>0</v>
      </c>
      <c r="AD39">
        <v>21434368.73</v>
      </c>
      <c r="AE39">
        <v>219463.5</v>
      </c>
      <c r="AF39">
        <v>0</v>
      </c>
      <c r="AG39">
        <v>417006663.53900009</v>
      </c>
    </row>
    <row r="40" spans="1:33" x14ac:dyDescent="0.3">
      <c r="A40" s="2">
        <v>44409</v>
      </c>
      <c r="B40">
        <v>1444587</v>
      </c>
      <c r="C40">
        <v>746743</v>
      </c>
      <c r="D40">
        <v>34506</v>
      </c>
      <c r="E40">
        <v>1524</v>
      </c>
      <c r="F40">
        <v>226</v>
      </c>
      <c r="G40">
        <v>225</v>
      </c>
      <c r="H40">
        <v>0</v>
      </c>
      <c r="I40">
        <v>1</v>
      </c>
      <c r="J40">
        <v>39</v>
      </c>
      <c r="K40">
        <v>95</v>
      </c>
      <c r="L40">
        <v>0</v>
      </c>
      <c r="M40">
        <v>0</v>
      </c>
      <c r="N40">
        <v>11</v>
      </c>
      <c r="O40">
        <v>2</v>
      </c>
      <c r="P40">
        <v>1</v>
      </c>
      <c r="Q40">
        <v>2227734</v>
      </c>
      <c r="R40">
        <v>16041462.850000001</v>
      </c>
      <c r="S40">
        <v>15659124.999999996</v>
      </c>
      <c r="T40">
        <v>11428896.979999997</v>
      </c>
      <c r="U40">
        <v>302581824.93000001</v>
      </c>
      <c r="V40">
        <v>17647883.23</v>
      </c>
      <c r="W40">
        <v>17580835.143000007</v>
      </c>
      <c r="X40">
        <v>0</v>
      </c>
      <c r="Y40">
        <v>67048.081999999995</v>
      </c>
      <c r="Z40">
        <v>37627187.989999995</v>
      </c>
      <c r="AA40">
        <v>306275.57000000012</v>
      </c>
      <c r="AB40">
        <v>0</v>
      </c>
      <c r="AC40">
        <v>0</v>
      </c>
      <c r="AD40">
        <v>22053622</v>
      </c>
      <c r="AE40">
        <v>237886.41</v>
      </c>
      <c r="AF40">
        <v>0</v>
      </c>
      <c r="AG40">
        <v>423584164.95500004</v>
      </c>
    </row>
    <row r="41" spans="1:33" x14ac:dyDescent="0.3">
      <c r="A41" s="2">
        <v>44440</v>
      </c>
      <c r="B41">
        <v>1423822</v>
      </c>
      <c r="C41">
        <v>748939</v>
      </c>
      <c r="D41">
        <v>31880</v>
      </c>
      <c r="E41">
        <v>1513</v>
      </c>
      <c r="F41">
        <v>225</v>
      </c>
      <c r="G41">
        <v>224</v>
      </c>
      <c r="H41">
        <v>0</v>
      </c>
      <c r="I41">
        <v>1</v>
      </c>
      <c r="J41">
        <v>41</v>
      </c>
      <c r="K41">
        <v>114</v>
      </c>
      <c r="L41">
        <v>0</v>
      </c>
      <c r="M41">
        <v>0</v>
      </c>
      <c r="N41">
        <v>11</v>
      </c>
      <c r="O41">
        <v>2</v>
      </c>
      <c r="P41">
        <v>1</v>
      </c>
      <c r="Q41">
        <v>2206548</v>
      </c>
      <c r="R41">
        <v>14891730.900000006</v>
      </c>
      <c r="S41">
        <v>14223061.890000002</v>
      </c>
      <c r="T41">
        <v>11347959.139999997</v>
      </c>
      <c r="U41">
        <v>305662609.69000006</v>
      </c>
      <c r="V41">
        <v>20057742.710000001</v>
      </c>
      <c r="W41">
        <v>20007504.243000008</v>
      </c>
      <c r="X41">
        <v>0</v>
      </c>
      <c r="Y41">
        <v>50238.477000000006</v>
      </c>
      <c r="Z41">
        <v>36910438.610000007</v>
      </c>
      <c r="AA41">
        <v>537198.46</v>
      </c>
      <c r="AB41">
        <v>0</v>
      </c>
      <c r="AC41">
        <v>0</v>
      </c>
      <c r="AD41">
        <v>20947080.969999999</v>
      </c>
      <c r="AE41">
        <v>283619.92</v>
      </c>
      <c r="AF41">
        <v>0</v>
      </c>
      <c r="AG41">
        <v>424861442.30000013</v>
      </c>
    </row>
    <row r="42" spans="1:33" x14ac:dyDescent="0.3">
      <c r="A42" s="2">
        <v>44470</v>
      </c>
      <c r="B42">
        <v>1434809</v>
      </c>
      <c r="C42">
        <v>752394</v>
      </c>
      <c r="D42">
        <v>32418</v>
      </c>
      <c r="E42">
        <v>1513</v>
      </c>
      <c r="F42">
        <v>221</v>
      </c>
      <c r="G42">
        <v>220</v>
      </c>
      <c r="H42">
        <v>0</v>
      </c>
      <c r="I42">
        <v>1</v>
      </c>
      <c r="J42">
        <v>44</v>
      </c>
      <c r="K42">
        <v>98</v>
      </c>
      <c r="L42">
        <v>0</v>
      </c>
      <c r="M42">
        <v>0</v>
      </c>
      <c r="N42">
        <v>13</v>
      </c>
      <c r="O42">
        <v>2</v>
      </c>
      <c r="P42">
        <v>1</v>
      </c>
      <c r="Q42">
        <v>2221513</v>
      </c>
      <c r="R42">
        <v>13862814.930000005</v>
      </c>
      <c r="S42">
        <v>13118601.490000013</v>
      </c>
      <c r="T42">
        <v>11332810.92</v>
      </c>
      <c r="U42">
        <v>315910604.72000003</v>
      </c>
      <c r="V42">
        <v>18413309.030000001</v>
      </c>
      <c r="W42">
        <v>18359349.177000005</v>
      </c>
      <c r="X42">
        <v>0</v>
      </c>
      <c r="Y42">
        <v>53959.86</v>
      </c>
      <c r="Z42">
        <v>38349183.510000005</v>
      </c>
      <c r="AA42">
        <v>594260.34000000008</v>
      </c>
      <c r="AB42">
        <v>0</v>
      </c>
      <c r="AC42">
        <v>0</v>
      </c>
      <c r="AD42">
        <v>21667944.300000001</v>
      </c>
      <c r="AE42">
        <v>239541.26</v>
      </c>
      <c r="AF42">
        <v>0</v>
      </c>
      <c r="AG42">
        <v>433489070.50700003</v>
      </c>
    </row>
    <row r="43" spans="1:33" x14ac:dyDescent="0.3">
      <c r="A43" s="2">
        <v>44501</v>
      </c>
      <c r="B43">
        <v>1441631</v>
      </c>
      <c r="C43">
        <v>754270</v>
      </c>
      <c r="D43">
        <v>31795</v>
      </c>
      <c r="E43">
        <v>1535</v>
      </c>
      <c r="F43">
        <v>227</v>
      </c>
      <c r="G43">
        <v>226</v>
      </c>
      <c r="H43">
        <v>0</v>
      </c>
      <c r="I43">
        <v>1</v>
      </c>
      <c r="J43">
        <v>41</v>
      </c>
      <c r="K43">
        <v>99</v>
      </c>
      <c r="L43">
        <v>0</v>
      </c>
      <c r="M43">
        <v>0</v>
      </c>
      <c r="N43">
        <v>12</v>
      </c>
      <c r="O43">
        <v>6</v>
      </c>
      <c r="P43">
        <v>1</v>
      </c>
      <c r="Q43">
        <v>2229617</v>
      </c>
      <c r="R43">
        <v>13916268.66</v>
      </c>
      <c r="S43">
        <v>13486290.880000001</v>
      </c>
      <c r="T43">
        <v>11431753.08</v>
      </c>
      <c r="U43">
        <v>307432944.05000007</v>
      </c>
      <c r="V43">
        <v>20546833.029999997</v>
      </c>
      <c r="W43">
        <v>20496403.832000006</v>
      </c>
      <c r="X43">
        <v>0</v>
      </c>
      <c r="Y43">
        <v>50429.19</v>
      </c>
      <c r="Z43">
        <v>37132538.069999993</v>
      </c>
      <c r="AA43">
        <v>650870.88</v>
      </c>
      <c r="AB43">
        <v>0</v>
      </c>
      <c r="AC43">
        <v>0</v>
      </c>
      <c r="AD43">
        <v>22667969.109999999</v>
      </c>
      <c r="AE43">
        <v>224743.03999999998</v>
      </c>
      <c r="AF43">
        <v>0</v>
      </c>
      <c r="AG43">
        <v>427490210.79200011</v>
      </c>
    </row>
    <row r="44" spans="1:33" x14ac:dyDescent="0.3">
      <c r="A44" s="2">
        <v>44531</v>
      </c>
      <c r="B44">
        <v>1445100</v>
      </c>
      <c r="C44">
        <v>759005</v>
      </c>
      <c r="D44">
        <v>32799</v>
      </c>
      <c r="E44">
        <v>1559</v>
      </c>
      <c r="F44">
        <v>242</v>
      </c>
      <c r="G44">
        <v>241</v>
      </c>
      <c r="H44">
        <v>0</v>
      </c>
      <c r="I44">
        <v>1</v>
      </c>
      <c r="J44">
        <v>42</v>
      </c>
      <c r="K44">
        <v>101</v>
      </c>
      <c r="L44">
        <v>0</v>
      </c>
      <c r="M44">
        <v>0</v>
      </c>
      <c r="N44">
        <v>11</v>
      </c>
      <c r="O44">
        <v>8</v>
      </c>
      <c r="P44">
        <v>1</v>
      </c>
      <c r="Q44">
        <v>2238868</v>
      </c>
      <c r="R44">
        <v>12325913.189999998</v>
      </c>
      <c r="S44">
        <v>11720832.580000002</v>
      </c>
      <c r="T44">
        <v>11010027.160000002</v>
      </c>
      <c r="U44">
        <v>291558368.97000021</v>
      </c>
      <c r="V44">
        <v>23103177.990000002</v>
      </c>
      <c r="W44">
        <v>23047792.003000002</v>
      </c>
      <c r="X44">
        <v>0</v>
      </c>
      <c r="Y44">
        <v>55385.990000000005</v>
      </c>
      <c r="Z44">
        <v>28522127.100000001</v>
      </c>
      <c r="AA44">
        <v>827088.17999999993</v>
      </c>
      <c r="AB44">
        <v>0</v>
      </c>
      <c r="AC44">
        <v>0</v>
      </c>
      <c r="AD44">
        <v>21079711.200000003</v>
      </c>
      <c r="AE44">
        <v>249475.42</v>
      </c>
      <c r="AF44">
        <v>0</v>
      </c>
      <c r="AG44">
        <v>400396721.79300028</v>
      </c>
    </row>
    <row r="45" spans="1:33" x14ac:dyDescent="0.3">
      <c r="A45" s="2">
        <v>44562</v>
      </c>
      <c r="B45">
        <v>1455634</v>
      </c>
      <c r="C45">
        <v>760906</v>
      </c>
      <c r="D45">
        <v>31746</v>
      </c>
      <c r="E45">
        <v>1545</v>
      </c>
      <c r="F45">
        <v>225</v>
      </c>
      <c r="G45">
        <v>224</v>
      </c>
      <c r="H45">
        <v>0</v>
      </c>
      <c r="I45">
        <v>1</v>
      </c>
      <c r="J45">
        <v>40</v>
      </c>
      <c r="K45">
        <v>99</v>
      </c>
      <c r="L45">
        <v>0</v>
      </c>
      <c r="M45">
        <v>0</v>
      </c>
      <c r="N45">
        <v>11</v>
      </c>
      <c r="O45">
        <v>2</v>
      </c>
      <c r="P45">
        <v>1</v>
      </c>
      <c r="Q45">
        <v>2250209</v>
      </c>
      <c r="R45">
        <v>12065127.750000002</v>
      </c>
      <c r="S45">
        <v>11175892.979999986</v>
      </c>
      <c r="T45">
        <v>10462661.140000002</v>
      </c>
      <c r="U45">
        <v>273054956.28999996</v>
      </c>
      <c r="V45">
        <v>18174909.690000005</v>
      </c>
      <c r="W45">
        <v>18135171.988000002</v>
      </c>
      <c r="X45">
        <v>0</v>
      </c>
      <c r="Y45">
        <v>39737.69</v>
      </c>
      <c r="Z45">
        <v>32690940.929999996</v>
      </c>
      <c r="AA45">
        <v>864119.43</v>
      </c>
      <c r="AB45">
        <v>0</v>
      </c>
      <c r="AC45">
        <v>0</v>
      </c>
      <c r="AD45">
        <v>22006098.370000001</v>
      </c>
      <c r="AE45">
        <v>163417.91</v>
      </c>
      <c r="AF45">
        <v>0</v>
      </c>
      <c r="AG45">
        <v>380658124.47799999</v>
      </c>
    </row>
    <row r="46" spans="1:33" x14ac:dyDescent="0.3">
      <c r="A46" s="2">
        <v>44593</v>
      </c>
      <c r="B46">
        <v>1455980</v>
      </c>
      <c r="C46">
        <v>774433</v>
      </c>
      <c r="D46">
        <v>32983</v>
      </c>
      <c r="E46">
        <v>1576</v>
      </c>
      <c r="F46">
        <v>229</v>
      </c>
      <c r="G46">
        <v>228</v>
      </c>
      <c r="H46">
        <v>0</v>
      </c>
      <c r="I46">
        <v>1</v>
      </c>
      <c r="J46">
        <v>41</v>
      </c>
      <c r="K46">
        <v>100</v>
      </c>
      <c r="L46">
        <v>0</v>
      </c>
      <c r="M46">
        <v>0</v>
      </c>
      <c r="N46">
        <v>11</v>
      </c>
      <c r="O46">
        <v>2</v>
      </c>
      <c r="P46">
        <v>1</v>
      </c>
      <c r="Q46">
        <v>2265356</v>
      </c>
      <c r="R46">
        <v>11280055.460000001</v>
      </c>
      <c r="S46">
        <v>10147214.809999995</v>
      </c>
      <c r="T46">
        <v>9926533.9999999944</v>
      </c>
      <c r="U46">
        <v>274327364.25000006</v>
      </c>
      <c r="V46">
        <v>18562359.230000004</v>
      </c>
      <c r="W46">
        <v>18518072.378999997</v>
      </c>
      <c r="X46">
        <v>0</v>
      </c>
      <c r="Y46">
        <v>44286.850000000006</v>
      </c>
      <c r="Z46">
        <v>32323638.629999999</v>
      </c>
      <c r="AA46">
        <v>936862.7100000002</v>
      </c>
      <c r="AB46">
        <v>0</v>
      </c>
      <c r="AC46">
        <v>0</v>
      </c>
      <c r="AD46">
        <v>21900846.079999998</v>
      </c>
      <c r="AE46">
        <v>201192.15</v>
      </c>
      <c r="AF46">
        <v>0</v>
      </c>
      <c r="AG46">
        <v>379606067.31900001</v>
      </c>
    </row>
    <row r="47" spans="1:33" x14ac:dyDescent="0.3">
      <c r="A47" s="2">
        <v>44621</v>
      </c>
      <c r="B47">
        <v>1524419</v>
      </c>
      <c r="C47">
        <v>824899</v>
      </c>
      <c r="D47">
        <v>34670</v>
      </c>
      <c r="E47">
        <v>1569</v>
      </c>
      <c r="F47">
        <v>234</v>
      </c>
      <c r="G47">
        <v>233</v>
      </c>
      <c r="H47">
        <v>0</v>
      </c>
      <c r="I47">
        <v>1</v>
      </c>
      <c r="J47">
        <v>38</v>
      </c>
      <c r="K47">
        <v>102</v>
      </c>
      <c r="L47">
        <v>0</v>
      </c>
      <c r="M47">
        <v>0</v>
      </c>
      <c r="N47">
        <v>11</v>
      </c>
      <c r="O47">
        <v>2</v>
      </c>
      <c r="P47">
        <v>1</v>
      </c>
      <c r="Q47">
        <v>2385945</v>
      </c>
      <c r="R47">
        <v>10988529.479999993</v>
      </c>
      <c r="S47">
        <v>9874317.0999999996</v>
      </c>
      <c r="T47">
        <v>9883813.3799999934</v>
      </c>
      <c r="U47">
        <v>261941580.46000007</v>
      </c>
      <c r="V47">
        <v>22211549.390000001</v>
      </c>
      <c r="W47">
        <v>22146379.740999993</v>
      </c>
      <c r="X47">
        <v>0</v>
      </c>
      <c r="Y47">
        <v>65169.64</v>
      </c>
      <c r="Z47">
        <v>33339490.34</v>
      </c>
      <c r="AA47">
        <v>933388.26</v>
      </c>
      <c r="AB47">
        <v>0</v>
      </c>
      <c r="AC47">
        <v>0</v>
      </c>
      <c r="AD47">
        <v>20592094.960000001</v>
      </c>
      <c r="AE47">
        <v>241619.55000000002</v>
      </c>
      <c r="AF47">
        <v>0</v>
      </c>
      <c r="AG47">
        <v>370006382.91100001</v>
      </c>
    </row>
    <row r="48" spans="1:33" x14ac:dyDescent="0.3">
      <c r="A48" s="2">
        <v>44652</v>
      </c>
      <c r="B48">
        <v>1467852</v>
      </c>
      <c r="C48">
        <v>792299</v>
      </c>
      <c r="D48">
        <v>32137</v>
      </c>
      <c r="E48">
        <v>1598</v>
      </c>
      <c r="F48">
        <v>225</v>
      </c>
      <c r="G48">
        <v>224</v>
      </c>
      <c r="H48">
        <v>0</v>
      </c>
      <c r="I48">
        <v>1</v>
      </c>
      <c r="J48">
        <v>39</v>
      </c>
      <c r="K48">
        <v>101</v>
      </c>
      <c r="L48">
        <v>0</v>
      </c>
      <c r="M48">
        <v>0</v>
      </c>
      <c r="N48">
        <v>15</v>
      </c>
      <c r="O48">
        <v>2</v>
      </c>
      <c r="P48">
        <v>1</v>
      </c>
      <c r="Q48">
        <v>2294269</v>
      </c>
      <c r="R48">
        <v>12108145.389999988</v>
      </c>
      <c r="S48">
        <v>11093517.710000008</v>
      </c>
      <c r="T48">
        <v>10816875.250000002</v>
      </c>
      <c r="U48">
        <v>277196407.52999991</v>
      </c>
      <c r="V48">
        <v>21708211.780000001</v>
      </c>
      <c r="W48">
        <v>21647958.641999982</v>
      </c>
      <c r="X48">
        <v>0</v>
      </c>
      <c r="Y48">
        <v>60253.130000000005</v>
      </c>
      <c r="Z48">
        <v>30929642.120000001</v>
      </c>
      <c r="AA48">
        <v>880095.85999999987</v>
      </c>
      <c r="AB48">
        <v>0</v>
      </c>
      <c r="AC48">
        <v>0</v>
      </c>
      <c r="AD48">
        <v>19416510.280000001</v>
      </c>
      <c r="AE48">
        <v>179662.73</v>
      </c>
      <c r="AF48">
        <v>0</v>
      </c>
      <c r="AG48">
        <v>384329068.64199984</v>
      </c>
    </row>
    <row r="49" spans="1:33" x14ac:dyDescent="0.3">
      <c r="A49" s="2">
        <v>44682</v>
      </c>
      <c r="B49">
        <v>1479388</v>
      </c>
      <c r="C49">
        <v>800486</v>
      </c>
      <c r="D49">
        <v>33007</v>
      </c>
      <c r="E49">
        <v>1594</v>
      </c>
      <c r="F49">
        <v>232</v>
      </c>
      <c r="G49">
        <v>231</v>
      </c>
      <c r="H49">
        <v>0</v>
      </c>
      <c r="I49">
        <v>1</v>
      </c>
      <c r="J49">
        <v>39</v>
      </c>
      <c r="K49">
        <v>102</v>
      </c>
      <c r="L49">
        <v>0</v>
      </c>
      <c r="M49">
        <v>0</v>
      </c>
      <c r="N49">
        <v>11</v>
      </c>
      <c r="O49">
        <v>20</v>
      </c>
      <c r="P49">
        <v>1</v>
      </c>
      <c r="Q49">
        <v>2314880</v>
      </c>
      <c r="R49">
        <v>13493792.940000001</v>
      </c>
      <c r="S49">
        <v>13027386.189999998</v>
      </c>
      <c r="T49">
        <v>11561870.050000003</v>
      </c>
      <c r="U49">
        <v>271952378.42999995</v>
      </c>
      <c r="V49">
        <v>20397312.870000001</v>
      </c>
      <c r="W49">
        <v>20327408.498000003</v>
      </c>
      <c r="X49">
        <v>0</v>
      </c>
      <c r="Y49">
        <v>69904.37</v>
      </c>
      <c r="Z49">
        <v>28980767.569999997</v>
      </c>
      <c r="AA49">
        <v>687110.07000000007</v>
      </c>
      <c r="AB49">
        <v>0</v>
      </c>
      <c r="AC49">
        <v>0</v>
      </c>
      <c r="AD49">
        <v>18170090.550000001</v>
      </c>
      <c r="AE49">
        <v>202922.25</v>
      </c>
      <c r="AF49">
        <v>0</v>
      </c>
      <c r="AG49">
        <v>378473630.91799998</v>
      </c>
    </row>
    <row r="50" spans="1:33" x14ac:dyDescent="0.3">
      <c r="A50" s="2">
        <v>44713</v>
      </c>
      <c r="B50">
        <v>1484573</v>
      </c>
      <c r="C50">
        <v>803147</v>
      </c>
      <c r="D50">
        <v>32432</v>
      </c>
      <c r="E50">
        <v>1588</v>
      </c>
      <c r="F50">
        <v>239</v>
      </c>
      <c r="G50">
        <v>238</v>
      </c>
      <c r="H50">
        <v>0</v>
      </c>
      <c r="I50">
        <v>1</v>
      </c>
      <c r="J50">
        <v>42</v>
      </c>
      <c r="K50">
        <v>104</v>
      </c>
      <c r="L50">
        <v>0</v>
      </c>
      <c r="M50">
        <v>0</v>
      </c>
      <c r="N50">
        <v>11</v>
      </c>
      <c r="O50">
        <v>22</v>
      </c>
      <c r="P50">
        <v>1</v>
      </c>
      <c r="Q50">
        <v>2322159</v>
      </c>
      <c r="R50">
        <v>15324006.300000006</v>
      </c>
      <c r="S50">
        <v>15110406.249999996</v>
      </c>
      <c r="T50">
        <v>12026412.099999992</v>
      </c>
      <c r="U50">
        <v>297153989.31000018</v>
      </c>
      <c r="V50">
        <v>20605658.649999999</v>
      </c>
      <c r="W50">
        <v>20523565.898999996</v>
      </c>
      <c r="X50">
        <v>0</v>
      </c>
      <c r="Y50">
        <v>82092.75</v>
      </c>
      <c r="Z50">
        <v>30163418.289999999</v>
      </c>
      <c r="AA50">
        <v>435155.63000000006</v>
      </c>
      <c r="AB50">
        <v>0</v>
      </c>
      <c r="AC50">
        <v>0</v>
      </c>
      <c r="AD50">
        <v>19244351.920000002</v>
      </c>
      <c r="AE50">
        <v>171215.43</v>
      </c>
      <c r="AF50">
        <v>0</v>
      </c>
      <c r="AG50">
        <v>410234613.87900019</v>
      </c>
    </row>
    <row r="51" spans="1:33" x14ac:dyDescent="0.3">
      <c r="A51" s="2">
        <v>44743</v>
      </c>
      <c r="B51">
        <v>1489769</v>
      </c>
      <c r="C51">
        <v>813868</v>
      </c>
      <c r="D51">
        <v>32669</v>
      </c>
      <c r="E51">
        <v>1619</v>
      </c>
      <c r="F51">
        <v>240</v>
      </c>
      <c r="G51">
        <v>239</v>
      </c>
      <c r="H51">
        <v>0</v>
      </c>
      <c r="I51">
        <v>1</v>
      </c>
      <c r="J51">
        <v>43</v>
      </c>
      <c r="K51">
        <v>107</v>
      </c>
      <c r="L51">
        <v>0</v>
      </c>
      <c r="M51">
        <v>0</v>
      </c>
      <c r="N51">
        <v>11</v>
      </c>
      <c r="O51">
        <v>4</v>
      </c>
      <c r="P51">
        <v>2</v>
      </c>
      <c r="Q51">
        <v>2338332</v>
      </c>
      <c r="R51">
        <v>15319171.819999989</v>
      </c>
      <c r="S51">
        <v>15079339.329999994</v>
      </c>
      <c r="T51">
        <v>12040466.700000003</v>
      </c>
      <c r="U51">
        <v>297707353.50999999</v>
      </c>
      <c r="V51">
        <v>19380323.439999998</v>
      </c>
      <c r="W51">
        <v>19309941.605999999</v>
      </c>
      <c r="X51">
        <v>0</v>
      </c>
      <c r="Y51">
        <v>70381.84</v>
      </c>
      <c r="Z51">
        <v>27438012.459999997</v>
      </c>
      <c r="AA51">
        <v>420353.07</v>
      </c>
      <c r="AB51">
        <v>0</v>
      </c>
      <c r="AC51">
        <v>0</v>
      </c>
      <c r="AD51">
        <v>18209512.68</v>
      </c>
      <c r="AE51">
        <v>132266.49</v>
      </c>
      <c r="AF51">
        <v>919955.18</v>
      </c>
      <c r="AG51">
        <v>406646754.68599993</v>
      </c>
    </row>
    <row r="52" spans="1:33" x14ac:dyDescent="0.3">
      <c r="A52" s="2">
        <v>44774</v>
      </c>
      <c r="B52">
        <v>1499753</v>
      </c>
      <c r="C52">
        <v>815226</v>
      </c>
      <c r="D52">
        <v>33935</v>
      </c>
      <c r="E52">
        <v>1611</v>
      </c>
      <c r="F52">
        <v>230</v>
      </c>
      <c r="G52">
        <v>228</v>
      </c>
      <c r="H52">
        <v>0</v>
      </c>
      <c r="I52">
        <v>2</v>
      </c>
      <c r="J52">
        <v>41</v>
      </c>
      <c r="K52">
        <v>105</v>
      </c>
      <c r="L52">
        <v>0</v>
      </c>
      <c r="M52">
        <v>0</v>
      </c>
      <c r="N52">
        <v>11</v>
      </c>
      <c r="O52">
        <v>2</v>
      </c>
      <c r="P52">
        <v>2</v>
      </c>
      <c r="Q52">
        <v>2350916</v>
      </c>
      <c r="R52">
        <v>14787230.830000006</v>
      </c>
      <c r="S52">
        <v>14553768.43</v>
      </c>
      <c r="T52">
        <v>12332126.089999998</v>
      </c>
      <c r="U52">
        <v>289496245.01000005</v>
      </c>
      <c r="V52">
        <v>18545675.309999999</v>
      </c>
      <c r="W52">
        <v>18456596.680999994</v>
      </c>
      <c r="X52">
        <v>0</v>
      </c>
      <c r="Y52">
        <v>89078.61</v>
      </c>
      <c r="Z52">
        <v>27320796.43</v>
      </c>
      <c r="AA52">
        <v>690567.54</v>
      </c>
      <c r="AB52">
        <v>0</v>
      </c>
      <c r="AC52">
        <v>0</v>
      </c>
      <c r="AD52">
        <v>20934509.77</v>
      </c>
      <c r="AE52">
        <v>145980.47</v>
      </c>
      <c r="AF52">
        <v>1158338.19</v>
      </c>
      <c r="AG52">
        <v>399965238.05100012</v>
      </c>
    </row>
    <row r="53" spans="1:33" x14ac:dyDescent="0.3">
      <c r="A53" s="2">
        <v>44805</v>
      </c>
      <c r="B53">
        <v>1501094</v>
      </c>
      <c r="C53">
        <v>827008</v>
      </c>
      <c r="D53">
        <v>32666</v>
      </c>
      <c r="E53">
        <v>1627</v>
      </c>
      <c r="F53">
        <v>233</v>
      </c>
      <c r="G53">
        <v>231</v>
      </c>
      <c r="H53">
        <v>0</v>
      </c>
      <c r="I53">
        <v>2</v>
      </c>
      <c r="J53">
        <v>41</v>
      </c>
      <c r="K53">
        <v>101</v>
      </c>
      <c r="L53">
        <v>0</v>
      </c>
      <c r="M53">
        <v>0</v>
      </c>
      <c r="N53">
        <v>12</v>
      </c>
      <c r="O53">
        <v>4</v>
      </c>
      <c r="P53">
        <v>2</v>
      </c>
      <c r="Q53">
        <v>2362788</v>
      </c>
      <c r="R53">
        <v>16838792.389999997</v>
      </c>
      <c r="S53">
        <v>16860799.819999993</v>
      </c>
      <c r="T53">
        <v>13040446.780000003</v>
      </c>
      <c r="U53">
        <v>311740543.57999998</v>
      </c>
      <c r="V53">
        <v>16576572.849999998</v>
      </c>
      <c r="W53">
        <v>16486779.053999996</v>
      </c>
      <c r="X53">
        <v>0</v>
      </c>
      <c r="Y53">
        <v>89793.799999999988</v>
      </c>
      <c r="Z53">
        <v>27070300.399999995</v>
      </c>
      <c r="AA53">
        <v>482723.05000000005</v>
      </c>
      <c r="AB53">
        <v>0</v>
      </c>
      <c r="AC53">
        <v>0</v>
      </c>
      <c r="AD53">
        <v>24652069.890000001</v>
      </c>
      <c r="AE53">
        <v>163013.84999999998</v>
      </c>
      <c r="AF53">
        <v>1069169.03</v>
      </c>
      <c r="AG53">
        <v>428494431.64399999</v>
      </c>
    </row>
    <row r="54" spans="1:33" x14ac:dyDescent="0.3">
      <c r="A54" s="2">
        <v>44835</v>
      </c>
      <c r="B54">
        <v>1509837</v>
      </c>
      <c r="C54">
        <v>836972</v>
      </c>
      <c r="D54">
        <v>32869</v>
      </c>
      <c r="E54">
        <v>1619</v>
      </c>
      <c r="F54">
        <v>228</v>
      </c>
      <c r="G54">
        <v>226</v>
      </c>
      <c r="H54">
        <v>0</v>
      </c>
      <c r="I54">
        <v>2</v>
      </c>
      <c r="J54">
        <v>41</v>
      </c>
      <c r="K54">
        <v>99</v>
      </c>
      <c r="L54">
        <v>0</v>
      </c>
      <c r="M54">
        <v>0</v>
      </c>
      <c r="N54">
        <v>11</v>
      </c>
      <c r="O54">
        <v>6</v>
      </c>
      <c r="P54">
        <v>2</v>
      </c>
      <c r="Q54">
        <v>2381684</v>
      </c>
      <c r="R54">
        <v>15850562.730000002</v>
      </c>
      <c r="S54">
        <v>16021961.829999991</v>
      </c>
      <c r="T54">
        <v>12640266.27</v>
      </c>
      <c r="U54">
        <v>282712580.59000015</v>
      </c>
      <c r="V54">
        <v>14080049.889999999</v>
      </c>
      <c r="W54">
        <v>13997677.366000006</v>
      </c>
      <c r="X54">
        <v>0</v>
      </c>
      <c r="Y54">
        <v>82372.509999999995</v>
      </c>
      <c r="Z54">
        <v>26068668.099999998</v>
      </c>
      <c r="AA54">
        <v>510078.05999999994</v>
      </c>
      <c r="AB54">
        <v>0</v>
      </c>
      <c r="AC54">
        <v>0</v>
      </c>
      <c r="AD54">
        <v>21317392.25</v>
      </c>
      <c r="AE54">
        <v>157012.00999999998</v>
      </c>
      <c r="AF54">
        <v>303741.15000000002</v>
      </c>
      <c r="AG54">
        <v>389662312.86600012</v>
      </c>
    </row>
    <row r="55" spans="1:33" x14ac:dyDescent="0.3">
      <c r="A55" s="2">
        <v>44866</v>
      </c>
      <c r="B55">
        <v>1517501</v>
      </c>
      <c r="C55">
        <v>835251</v>
      </c>
      <c r="D55">
        <v>33169</v>
      </c>
      <c r="E55">
        <v>1623</v>
      </c>
      <c r="F55">
        <v>251</v>
      </c>
      <c r="G55">
        <v>249</v>
      </c>
      <c r="H55">
        <v>0</v>
      </c>
      <c r="I55">
        <v>2</v>
      </c>
      <c r="J55">
        <v>43</v>
      </c>
      <c r="K55">
        <v>99</v>
      </c>
      <c r="L55">
        <v>0</v>
      </c>
      <c r="M55">
        <v>0</v>
      </c>
      <c r="N55">
        <v>13</v>
      </c>
      <c r="O55">
        <v>4</v>
      </c>
      <c r="P55">
        <v>2</v>
      </c>
      <c r="Q55">
        <v>2387956</v>
      </c>
      <c r="R55">
        <v>14141486.100000005</v>
      </c>
      <c r="S55">
        <v>13850327.760000005</v>
      </c>
      <c r="T55">
        <v>12305141.369999999</v>
      </c>
      <c r="U55">
        <v>265670374.17999998</v>
      </c>
      <c r="V55">
        <v>14885520.849999996</v>
      </c>
      <c r="W55">
        <v>14802189.123999996</v>
      </c>
      <c r="X55">
        <v>0</v>
      </c>
      <c r="Y55">
        <v>83331.72</v>
      </c>
      <c r="Z55">
        <v>30272798.399999999</v>
      </c>
      <c r="AA55">
        <v>744579.51000000013</v>
      </c>
      <c r="AB55">
        <v>0</v>
      </c>
      <c r="AC55">
        <v>0</v>
      </c>
      <c r="AD55">
        <v>20446408.760000002</v>
      </c>
      <c r="AE55">
        <v>239564.24</v>
      </c>
      <c r="AF55">
        <v>25514.66</v>
      </c>
      <c r="AG55">
        <v>372581715.824</v>
      </c>
    </row>
    <row r="56" spans="1:33" x14ac:dyDescent="0.3">
      <c r="A56" s="2">
        <v>44896</v>
      </c>
      <c r="B56">
        <v>1523683</v>
      </c>
      <c r="C56">
        <v>839828</v>
      </c>
      <c r="D56">
        <v>33110</v>
      </c>
      <c r="E56">
        <v>1676</v>
      </c>
      <c r="F56">
        <v>235</v>
      </c>
      <c r="G56">
        <v>233</v>
      </c>
      <c r="H56">
        <v>0</v>
      </c>
      <c r="I56">
        <v>2</v>
      </c>
      <c r="J56">
        <v>43</v>
      </c>
      <c r="K56">
        <v>101</v>
      </c>
      <c r="L56">
        <v>0</v>
      </c>
      <c r="M56">
        <v>0</v>
      </c>
      <c r="N56">
        <v>13</v>
      </c>
      <c r="O56">
        <v>4</v>
      </c>
      <c r="P56">
        <v>2</v>
      </c>
      <c r="Q56">
        <v>2398695</v>
      </c>
      <c r="R56">
        <v>13069191.849999994</v>
      </c>
      <c r="S56">
        <v>12753091.889999997</v>
      </c>
      <c r="T56">
        <v>11766234.890000006</v>
      </c>
      <c r="U56">
        <v>264443150.15999997</v>
      </c>
      <c r="V56">
        <v>14632084.039999999</v>
      </c>
      <c r="W56">
        <v>14552063.589</v>
      </c>
      <c r="X56">
        <v>0</v>
      </c>
      <c r="Y56">
        <v>80020.45</v>
      </c>
      <c r="Z56">
        <v>28978353.800000001</v>
      </c>
      <c r="AA56">
        <v>821161.87999999977</v>
      </c>
      <c r="AB56">
        <v>0</v>
      </c>
      <c r="AC56">
        <v>0</v>
      </c>
      <c r="AD56">
        <v>18587431.280000001</v>
      </c>
      <c r="AE56">
        <v>136396.96</v>
      </c>
      <c r="AF56">
        <v>26847.24</v>
      </c>
      <c r="AG56">
        <v>365213943.9889999</v>
      </c>
    </row>
    <row r="57" spans="1:33" x14ac:dyDescent="0.3">
      <c r="A57" s="2">
        <v>44927</v>
      </c>
      <c r="B57">
        <v>1530759</v>
      </c>
      <c r="C57">
        <v>842786</v>
      </c>
      <c r="D57">
        <v>33129</v>
      </c>
      <c r="E57">
        <v>1711</v>
      </c>
      <c r="F57">
        <v>237</v>
      </c>
      <c r="G57">
        <v>235</v>
      </c>
      <c r="H57">
        <v>0</v>
      </c>
      <c r="I57">
        <v>2</v>
      </c>
      <c r="J57">
        <v>45</v>
      </c>
      <c r="K57">
        <v>108</v>
      </c>
      <c r="L57">
        <v>0</v>
      </c>
      <c r="M57">
        <v>0</v>
      </c>
      <c r="N57">
        <v>28</v>
      </c>
      <c r="O57">
        <v>2</v>
      </c>
      <c r="P57">
        <v>1</v>
      </c>
      <c r="Q57">
        <v>2408806</v>
      </c>
      <c r="R57">
        <v>12254668.030000005</v>
      </c>
      <c r="S57">
        <v>11498362.130000003</v>
      </c>
      <c r="T57">
        <v>10672217.850000005</v>
      </c>
      <c r="U57">
        <v>225439341.92000005</v>
      </c>
      <c r="V57">
        <v>12551577.9</v>
      </c>
      <c r="W57">
        <v>12498335.045000004</v>
      </c>
      <c r="X57">
        <v>0</v>
      </c>
      <c r="Y57">
        <v>53242.86</v>
      </c>
      <c r="Z57">
        <v>28065078.57</v>
      </c>
      <c r="AA57">
        <v>811578.34</v>
      </c>
      <c r="AB57">
        <v>0</v>
      </c>
      <c r="AC57">
        <v>0</v>
      </c>
      <c r="AD57">
        <v>15823378.359999999</v>
      </c>
      <c r="AE57">
        <v>190156.36</v>
      </c>
      <c r="AF57">
        <v>85383.78</v>
      </c>
      <c r="AG57">
        <v>317391743.24500006</v>
      </c>
    </row>
    <row r="58" spans="1:33" x14ac:dyDescent="0.3">
      <c r="A58" s="2">
        <v>44958</v>
      </c>
      <c r="B58">
        <v>1533952</v>
      </c>
      <c r="C58">
        <v>849730</v>
      </c>
      <c r="D58">
        <v>33225</v>
      </c>
      <c r="E58">
        <v>1648</v>
      </c>
      <c r="F58">
        <v>242</v>
      </c>
      <c r="G58">
        <v>240</v>
      </c>
      <c r="H58">
        <v>0</v>
      </c>
      <c r="I58">
        <v>2</v>
      </c>
      <c r="J58">
        <v>42</v>
      </c>
      <c r="K58">
        <v>101</v>
      </c>
      <c r="L58">
        <v>0</v>
      </c>
      <c r="M58">
        <v>0</v>
      </c>
      <c r="N58">
        <v>14</v>
      </c>
      <c r="O58">
        <v>2</v>
      </c>
      <c r="P58">
        <v>3</v>
      </c>
      <c r="Q58">
        <v>2418959</v>
      </c>
      <c r="R58">
        <v>11901014.670000013</v>
      </c>
      <c r="S58">
        <v>10963722.77</v>
      </c>
      <c r="T58">
        <v>10809979.829999998</v>
      </c>
      <c r="U58">
        <v>249917702.65000007</v>
      </c>
      <c r="V58">
        <v>12240274.309999997</v>
      </c>
      <c r="W58">
        <v>12180143.532000002</v>
      </c>
      <c r="X58">
        <v>0</v>
      </c>
      <c r="Y58">
        <v>60130.770000000004</v>
      </c>
      <c r="Z58">
        <v>25944806.680000003</v>
      </c>
      <c r="AA58">
        <v>989408.48</v>
      </c>
      <c r="AB58">
        <v>0</v>
      </c>
      <c r="AC58">
        <v>0</v>
      </c>
      <c r="AD58">
        <v>17014299.509999998</v>
      </c>
      <c r="AE58">
        <v>153570.12</v>
      </c>
      <c r="AF58">
        <v>39355.67</v>
      </c>
      <c r="AG58">
        <v>339974134.6820001</v>
      </c>
    </row>
    <row r="59" spans="1:33" x14ac:dyDescent="0.3">
      <c r="A59" s="2">
        <v>44986</v>
      </c>
      <c r="B59">
        <v>1546211</v>
      </c>
      <c r="C59">
        <v>871121</v>
      </c>
      <c r="D59">
        <v>33813</v>
      </c>
      <c r="E59">
        <v>1633</v>
      </c>
      <c r="F59">
        <v>235</v>
      </c>
      <c r="G59">
        <v>233</v>
      </c>
      <c r="H59">
        <v>0</v>
      </c>
      <c r="I59">
        <v>2</v>
      </c>
      <c r="J59">
        <v>42</v>
      </c>
      <c r="K59">
        <v>105</v>
      </c>
      <c r="L59">
        <v>0</v>
      </c>
      <c r="M59">
        <v>0</v>
      </c>
      <c r="N59">
        <v>14</v>
      </c>
      <c r="O59">
        <v>4</v>
      </c>
      <c r="P59">
        <v>1</v>
      </c>
      <c r="Q59">
        <v>2453179</v>
      </c>
      <c r="R59">
        <v>11759338.279999997</v>
      </c>
      <c r="S59">
        <v>10799011.199999999</v>
      </c>
      <c r="T59">
        <v>10752479.4</v>
      </c>
      <c r="U59">
        <v>241640697.17000002</v>
      </c>
      <c r="V59">
        <v>14540000.270000001</v>
      </c>
      <c r="W59">
        <v>14451778.989</v>
      </c>
      <c r="X59">
        <v>0</v>
      </c>
      <c r="Y59">
        <v>88221.28</v>
      </c>
      <c r="Z59">
        <v>24803034.07</v>
      </c>
      <c r="AA59">
        <v>958673.5</v>
      </c>
      <c r="AB59">
        <v>0</v>
      </c>
      <c r="AC59">
        <v>0</v>
      </c>
      <c r="AD59">
        <v>18058016.200000003</v>
      </c>
      <c r="AE59">
        <v>181993.18</v>
      </c>
      <c r="AF59">
        <v>23779.18</v>
      </c>
      <c r="AG59">
        <v>333517022.449</v>
      </c>
    </row>
    <row r="60" spans="1:33" x14ac:dyDescent="0.3">
      <c r="A60" s="2">
        <v>45017</v>
      </c>
      <c r="B60">
        <v>1541174</v>
      </c>
      <c r="C60">
        <v>872631</v>
      </c>
      <c r="D60">
        <v>33248</v>
      </c>
      <c r="E60">
        <v>1620</v>
      </c>
      <c r="F60">
        <v>238</v>
      </c>
      <c r="G60">
        <v>236</v>
      </c>
      <c r="H60">
        <v>0</v>
      </c>
      <c r="I60">
        <v>2</v>
      </c>
      <c r="J60">
        <v>43</v>
      </c>
      <c r="K60">
        <v>101</v>
      </c>
      <c r="L60">
        <v>0</v>
      </c>
      <c r="M60">
        <v>0</v>
      </c>
      <c r="N60">
        <v>14</v>
      </c>
      <c r="O60">
        <v>2</v>
      </c>
      <c r="P60">
        <v>1</v>
      </c>
      <c r="Q60">
        <v>2449072</v>
      </c>
      <c r="R60">
        <v>12624535.359999992</v>
      </c>
      <c r="S60">
        <v>11613993.149999995</v>
      </c>
      <c r="T60">
        <v>11397423.029999994</v>
      </c>
      <c r="U60">
        <v>250891931.0200001</v>
      </c>
      <c r="V60">
        <v>12692853.210000001</v>
      </c>
      <c r="W60">
        <v>12616961.622999998</v>
      </c>
      <c r="X60">
        <v>0</v>
      </c>
      <c r="Y60">
        <v>75891.600000000006</v>
      </c>
      <c r="Z60">
        <v>26833824.160000004</v>
      </c>
      <c r="AA60">
        <v>840956.71</v>
      </c>
      <c r="AB60">
        <v>0</v>
      </c>
      <c r="AC60">
        <v>0</v>
      </c>
      <c r="AD60">
        <v>17742703.690000001</v>
      </c>
      <c r="AE60">
        <v>102548.42</v>
      </c>
      <c r="AF60">
        <v>30075.46</v>
      </c>
      <c r="AG60">
        <v>344770844.22300011</v>
      </c>
    </row>
    <row r="61" spans="1:33" x14ac:dyDescent="0.3">
      <c r="A61" s="2">
        <v>45047</v>
      </c>
      <c r="B61">
        <v>1555175</v>
      </c>
      <c r="C61">
        <v>889200</v>
      </c>
      <c r="D61">
        <v>36130</v>
      </c>
      <c r="E61">
        <v>1630</v>
      </c>
      <c r="F61">
        <v>237</v>
      </c>
      <c r="G61">
        <v>235</v>
      </c>
      <c r="H61">
        <v>0</v>
      </c>
      <c r="I61">
        <v>2</v>
      </c>
      <c r="J61">
        <v>43</v>
      </c>
      <c r="K61">
        <v>99</v>
      </c>
      <c r="L61">
        <v>0</v>
      </c>
      <c r="M61">
        <v>0</v>
      </c>
      <c r="N61">
        <v>12</v>
      </c>
      <c r="O61">
        <v>2</v>
      </c>
      <c r="P61">
        <v>1</v>
      </c>
      <c r="Q61">
        <v>2482529</v>
      </c>
      <c r="R61">
        <v>13169016.920000004</v>
      </c>
      <c r="S61">
        <v>12827255.460000003</v>
      </c>
      <c r="T61">
        <v>11018338.610000001</v>
      </c>
      <c r="U61">
        <v>255757581.11999997</v>
      </c>
      <c r="V61">
        <v>13776148.340000002</v>
      </c>
      <c r="W61">
        <v>13710659.290999999</v>
      </c>
      <c r="X61">
        <v>0</v>
      </c>
      <c r="Y61">
        <v>65489.04</v>
      </c>
      <c r="Z61">
        <v>24131733.77</v>
      </c>
      <c r="AA61">
        <v>662924.16</v>
      </c>
      <c r="AB61">
        <v>0</v>
      </c>
      <c r="AC61">
        <v>0</v>
      </c>
      <c r="AD61">
        <v>15852814.51</v>
      </c>
      <c r="AE61">
        <v>137677.61000000002</v>
      </c>
      <c r="AF61">
        <v>188547.79</v>
      </c>
      <c r="AG61">
        <v>347522038.28100008</v>
      </c>
    </row>
    <row r="62" spans="1:33" x14ac:dyDescent="0.3">
      <c r="A62" s="2">
        <v>45078</v>
      </c>
      <c r="B62">
        <v>1555549</v>
      </c>
      <c r="C62">
        <v>892064</v>
      </c>
      <c r="D62">
        <v>33709</v>
      </c>
      <c r="E62">
        <v>1625</v>
      </c>
      <c r="F62">
        <v>232</v>
      </c>
      <c r="G62">
        <v>230</v>
      </c>
      <c r="H62">
        <v>0</v>
      </c>
      <c r="I62">
        <v>2</v>
      </c>
      <c r="J62">
        <v>43</v>
      </c>
      <c r="K62">
        <v>99</v>
      </c>
      <c r="L62">
        <v>0</v>
      </c>
      <c r="M62">
        <v>0</v>
      </c>
      <c r="N62">
        <v>12</v>
      </c>
      <c r="O62">
        <v>2</v>
      </c>
      <c r="P62">
        <v>1</v>
      </c>
      <c r="Q62">
        <v>2483336</v>
      </c>
      <c r="R62">
        <v>15268640.849999985</v>
      </c>
      <c r="S62">
        <v>15151977.519999998</v>
      </c>
      <c r="T62">
        <v>12388657.819999998</v>
      </c>
      <c r="U62">
        <v>273824592.55000001</v>
      </c>
      <c r="V62">
        <v>13816795.16</v>
      </c>
      <c r="W62">
        <v>13748806.382000003</v>
      </c>
      <c r="X62">
        <v>0</v>
      </c>
      <c r="Y62">
        <v>67988.759999999995</v>
      </c>
      <c r="Z62">
        <v>28091825.449999999</v>
      </c>
      <c r="AA62">
        <v>521023.25999999995</v>
      </c>
      <c r="AB62">
        <v>0</v>
      </c>
      <c r="AC62">
        <v>0</v>
      </c>
      <c r="AD62">
        <v>16443487.020000001</v>
      </c>
      <c r="AE62">
        <v>80657.86</v>
      </c>
      <c r="AF62">
        <v>114938.7</v>
      </c>
      <c r="AG62">
        <v>375702596.17199999</v>
      </c>
    </row>
    <row r="63" spans="1:33" x14ac:dyDescent="0.3">
      <c r="A63" s="2">
        <v>45108</v>
      </c>
      <c r="B63">
        <v>1562616</v>
      </c>
      <c r="C63">
        <v>903808</v>
      </c>
      <c r="D63">
        <v>33671</v>
      </c>
      <c r="E63">
        <v>1618</v>
      </c>
      <c r="F63">
        <v>238</v>
      </c>
      <c r="G63">
        <v>236</v>
      </c>
      <c r="H63">
        <v>0</v>
      </c>
      <c r="I63">
        <v>2</v>
      </c>
      <c r="J63">
        <v>43</v>
      </c>
      <c r="K63">
        <v>102</v>
      </c>
      <c r="L63">
        <v>0</v>
      </c>
      <c r="M63">
        <v>0</v>
      </c>
      <c r="N63">
        <v>12</v>
      </c>
      <c r="O63">
        <v>16</v>
      </c>
      <c r="P63">
        <v>1</v>
      </c>
      <c r="Q63">
        <v>2502125</v>
      </c>
      <c r="R63">
        <v>16050800.669999987</v>
      </c>
      <c r="S63">
        <v>16093576.459999997</v>
      </c>
      <c r="T63">
        <v>12563903.339999998</v>
      </c>
      <c r="U63">
        <v>265778874.72999999</v>
      </c>
      <c r="V63">
        <v>12641052.1</v>
      </c>
      <c r="W63">
        <v>12582972.863999998</v>
      </c>
      <c r="X63">
        <v>0</v>
      </c>
      <c r="Y63">
        <v>58079.22</v>
      </c>
      <c r="Z63">
        <v>23902597.48</v>
      </c>
      <c r="AA63">
        <v>408607.8500000012</v>
      </c>
      <c r="AB63">
        <v>0</v>
      </c>
      <c r="AC63">
        <v>0</v>
      </c>
      <c r="AD63">
        <v>16249401.890000001</v>
      </c>
      <c r="AE63">
        <v>138006.62</v>
      </c>
      <c r="AF63">
        <v>46372.12</v>
      </c>
      <c r="AG63">
        <v>363873193.24400008</v>
      </c>
    </row>
    <row r="64" spans="1:33" x14ac:dyDescent="0.3">
      <c r="A64" s="2">
        <v>45139</v>
      </c>
      <c r="B64">
        <v>1572452</v>
      </c>
      <c r="C64">
        <v>914217</v>
      </c>
      <c r="D64">
        <v>33718</v>
      </c>
      <c r="E64">
        <v>1656</v>
      </c>
      <c r="F64">
        <v>249</v>
      </c>
      <c r="G64">
        <v>247</v>
      </c>
      <c r="H64">
        <v>0</v>
      </c>
      <c r="I64">
        <v>2</v>
      </c>
      <c r="J64">
        <v>45</v>
      </c>
      <c r="K64">
        <v>99</v>
      </c>
      <c r="L64">
        <v>0</v>
      </c>
      <c r="M64">
        <v>0</v>
      </c>
      <c r="N64">
        <v>14</v>
      </c>
      <c r="O64">
        <v>2</v>
      </c>
      <c r="P64">
        <v>1</v>
      </c>
      <c r="Q64">
        <v>2522453</v>
      </c>
      <c r="R64">
        <v>15274355.259999994</v>
      </c>
      <c r="S64">
        <v>15199612.759999998</v>
      </c>
      <c r="T64">
        <v>12675806.979999997</v>
      </c>
      <c r="U64">
        <v>261807511.31999993</v>
      </c>
      <c r="V64">
        <v>12795938.259999998</v>
      </c>
      <c r="W64">
        <v>12722367.255000003</v>
      </c>
      <c r="X64">
        <v>0</v>
      </c>
      <c r="Y64">
        <v>73571</v>
      </c>
      <c r="Z64">
        <v>23002886.740000002</v>
      </c>
      <c r="AA64">
        <v>498996.31000000006</v>
      </c>
      <c r="AB64">
        <v>0</v>
      </c>
      <c r="AC64">
        <v>0</v>
      </c>
      <c r="AD64">
        <v>16016228.129999999</v>
      </c>
      <c r="AE64">
        <v>146280.24</v>
      </c>
      <c r="AF64">
        <v>101349.12</v>
      </c>
      <c r="AG64">
        <v>357518965.11499995</v>
      </c>
    </row>
    <row r="65" spans="1:33" x14ac:dyDescent="0.3">
      <c r="A65" s="2">
        <v>45170</v>
      </c>
      <c r="B65">
        <v>1570575</v>
      </c>
      <c r="C65">
        <v>915812</v>
      </c>
      <c r="D65">
        <v>33650</v>
      </c>
      <c r="E65">
        <v>1622</v>
      </c>
      <c r="F65">
        <v>250</v>
      </c>
      <c r="G65">
        <v>248</v>
      </c>
      <c r="H65">
        <v>0</v>
      </c>
      <c r="I65">
        <v>2</v>
      </c>
      <c r="J65">
        <v>44</v>
      </c>
      <c r="K65">
        <v>101</v>
      </c>
      <c r="L65">
        <v>0</v>
      </c>
      <c r="M65">
        <v>0</v>
      </c>
      <c r="N65">
        <v>14</v>
      </c>
      <c r="O65">
        <v>2</v>
      </c>
      <c r="P65">
        <v>1</v>
      </c>
      <c r="Q65">
        <v>2522071</v>
      </c>
      <c r="R65">
        <v>15737414.169999989</v>
      </c>
      <c r="S65">
        <v>15400262.390000002</v>
      </c>
      <c r="T65">
        <v>12960295.999999998</v>
      </c>
      <c r="U65">
        <v>269085876.47999996</v>
      </c>
      <c r="V65">
        <v>13278045.610000001</v>
      </c>
      <c r="W65">
        <v>13199969.661000002</v>
      </c>
      <c r="X65">
        <v>0</v>
      </c>
      <c r="Y65">
        <v>78075.929999999993</v>
      </c>
      <c r="Z65">
        <v>21723004.560000002</v>
      </c>
      <c r="AA65">
        <v>635288.00999999989</v>
      </c>
      <c r="AB65">
        <v>0</v>
      </c>
      <c r="AC65">
        <v>0</v>
      </c>
      <c r="AD65">
        <v>16742960.800000001</v>
      </c>
      <c r="AE65">
        <v>117852.03</v>
      </c>
      <c r="AF65">
        <v>88006.69</v>
      </c>
      <c r="AG65">
        <v>365769006.72099996</v>
      </c>
    </row>
    <row r="66" spans="1:33" x14ac:dyDescent="0.3">
      <c r="A66" s="2">
        <v>45200</v>
      </c>
      <c r="B66">
        <v>1576309</v>
      </c>
      <c r="C66">
        <v>923957</v>
      </c>
      <c r="D66">
        <v>34052</v>
      </c>
      <c r="E66">
        <v>1634</v>
      </c>
      <c r="F66">
        <v>249</v>
      </c>
      <c r="G66">
        <v>247</v>
      </c>
      <c r="H66">
        <v>0</v>
      </c>
      <c r="I66">
        <v>2</v>
      </c>
      <c r="J66">
        <v>44</v>
      </c>
      <c r="K66">
        <v>98</v>
      </c>
      <c r="L66">
        <v>0</v>
      </c>
      <c r="M66">
        <v>0</v>
      </c>
      <c r="N66">
        <v>12</v>
      </c>
      <c r="O66">
        <v>2</v>
      </c>
      <c r="P66">
        <v>1</v>
      </c>
      <c r="Q66">
        <v>2536358</v>
      </c>
      <c r="R66">
        <v>13382232.380000005</v>
      </c>
      <c r="S66">
        <v>12893518.629999995</v>
      </c>
      <c r="T66">
        <v>12118907.450000003</v>
      </c>
      <c r="U66">
        <v>263896155.51999995</v>
      </c>
      <c r="V66">
        <v>12361609.77</v>
      </c>
      <c r="W66">
        <v>12274895.944999993</v>
      </c>
      <c r="X66">
        <v>0</v>
      </c>
      <c r="Y66">
        <v>86713.84</v>
      </c>
      <c r="Z66">
        <v>17686412.98</v>
      </c>
      <c r="AA66">
        <v>741321.14</v>
      </c>
      <c r="AB66">
        <v>0</v>
      </c>
      <c r="AC66">
        <v>0</v>
      </c>
      <c r="AD66">
        <v>15688301.109999999</v>
      </c>
      <c r="AE66">
        <v>152638.27000000002</v>
      </c>
      <c r="AF66">
        <v>80525.05</v>
      </c>
      <c r="AG66">
        <v>349001622.31499994</v>
      </c>
    </row>
    <row r="67" spans="1:33" x14ac:dyDescent="0.3">
      <c r="A67" s="2">
        <v>45231</v>
      </c>
      <c r="B67">
        <v>1578505</v>
      </c>
      <c r="C67">
        <v>929338</v>
      </c>
      <c r="D67">
        <v>33899</v>
      </c>
      <c r="E67">
        <v>1625</v>
      </c>
      <c r="F67">
        <v>256</v>
      </c>
      <c r="G67">
        <v>254</v>
      </c>
      <c r="H67">
        <v>0</v>
      </c>
      <c r="I67">
        <v>2</v>
      </c>
      <c r="J67">
        <v>45</v>
      </c>
      <c r="K67">
        <v>97</v>
      </c>
      <c r="L67">
        <v>0</v>
      </c>
      <c r="M67">
        <v>0</v>
      </c>
      <c r="N67">
        <v>12</v>
      </c>
      <c r="O67">
        <v>2</v>
      </c>
      <c r="P67">
        <v>1</v>
      </c>
      <c r="Q67">
        <v>2543780</v>
      </c>
      <c r="R67">
        <v>13540085.17</v>
      </c>
      <c r="S67">
        <v>12983199.739999995</v>
      </c>
      <c r="T67">
        <v>12370071.34</v>
      </c>
      <c r="U67">
        <v>279746914.17999995</v>
      </c>
      <c r="V67">
        <v>12982267.959999997</v>
      </c>
      <c r="W67">
        <v>12901266.992999986</v>
      </c>
      <c r="X67">
        <v>0</v>
      </c>
      <c r="Y67">
        <v>81000.97</v>
      </c>
      <c r="Z67">
        <v>20794768.699999999</v>
      </c>
      <c r="AA67">
        <v>794921.74000000011</v>
      </c>
      <c r="AB67">
        <v>0</v>
      </c>
      <c r="AC67">
        <v>0</v>
      </c>
      <c r="AD67">
        <v>14595683.359999999</v>
      </c>
      <c r="AE67">
        <v>140456.19</v>
      </c>
      <c r="AF67">
        <v>33245.96</v>
      </c>
      <c r="AG67">
        <v>367981614.34299994</v>
      </c>
    </row>
    <row r="68" spans="1:33" x14ac:dyDescent="0.3">
      <c r="A68" s="2">
        <v>45261</v>
      </c>
      <c r="B68">
        <v>1585010</v>
      </c>
      <c r="C68">
        <v>938033</v>
      </c>
      <c r="D68">
        <v>34044</v>
      </c>
      <c r="E68">
        <v>1658</v>
      </c>
      <c r="F68">
        <v>250</v>
      </c>
      <c r="G68">
        <v>248</v>
      </c>
      <c r="H68">
        <v>0</v>
      </c>
      <c r="I68">
        <v>2</v>
      </c>
      <c r="J68">
        <v>51</v>
      </c>
      <c r="K68">
        <v>97</v>
      </c>
      <c r="L68">
        <v>0</v>
      </c>
      <c r="M68">
        <v>0</v>
      </c>
      <c r="N68">
        <v>12</v>
      </c>
      <c r="O68">
        <v>2</v>
      </c>
      <c r="P68">
        <v>1</v>
      </c>
      <c r="Q68">
        <v>2559158</v>
      </c>
      <c r="R68">
        <v>10824320.51999999</v>
      </c>
      <c r="S68">
        <v>9854118.0800000094</v>
      </c>
      <c r="T68">
        <v>10901365.66</v>
      </c>
      <c r="U68">
        <v>249994328.93000004</v>
      </c>
      <c r="V68">
        <v>12083377.979999999</v>
      </c>
      <c r="W68">
        <v>11995781.851000007</v>
      </c>
      <c r="X68">
        <v>0</v>
      </c>
      <c r="Y68">
        <v>87596.13</v>
      </c>
      <c r="Z68">
        <v>17643079.16</v>
      </c>
      <c r="AA68">
        <v>1002584.7400000001</v>
      </c>
      <c r="AB68">
        <v>0</v>
      </c>
      <c r="AC68">
        <v>0</v>
      </c>
      <c r="AD68">
        <v>11416356.57</v>
      </c>
      <c r="AE68">
        <v>106587.75</v>
      </c>
      <c r="AF68">
        <v>29022</v>
      </c>
      <c r="AG68">
        <v>323855141.39100009</v>
      </c>
    </row>
    <row r="69" spans="1:33" x14ac:dyDescent="0.3">
      <c r="A69" s="2">
        <v>45292</v>
      </c>
      <c r="B69">
        <v>1599449</v>
      </c>
      <c r="C69">
        <v>954346</v>
      </c>
      <c r="D69">
        <v>33976</v>
      </c>
      <c r="E69">
        <v>1670</v>
      </c>
      <c r="F69">
        <v>243</v>
      </c>
      <c r="G69">
        <v>241</v>
      </c>
      <c r="H69">
        <v>0</v>
      </c>
      <c r="I69">
        <v>2</v>
      </c>
      <c r="J69">
        <v>53</v>
      </c>
      <c r="K69">
        <v>102</v>
      </c>
      <c r="L69">
        <v>0</v>
      </c>
      <c r="M69">
        <v>0</v>
      </c>
      <c r="N69">
        <v>11</v>
      </c>
      <c r="O69">
        <v>2</v>
      </c>
      <c r="P69">
        <v>1</v>
      </c>
      <c r="Q69">
        <v>2589853</v>
      </c>
      <c r="R69">
        <v>11205684.029999992</v>
      </c>
      <c r="S69">
        <v>10013531.960000003</v>
      </c>
      <c r="T69">
        <v>11327224.369999999</v>
      </c>
      <c r="U69">
        <v>233450358.01999998</v>
      </c>
      <c r="V69">
        <v>9954345.3800000008</v>
      </c>
      <c r="W69">
        <v>9902028.4420000054</v>
      </c>
      <c r="X69">
        <v>0</v>
      </c>
      <c r="Y69">
        <v>52316.93</v>
      </c>
      <c r="Z69">
        <v>14751252.780000001</v>
      </c>
      <c r="AA69">
        <v>781396.33999999985</v>
      </c>
      <c r="AB69">
        <v>0</v>
      </c>
      <c r="AC69">
        <v>0</v>
      </c>
      <c r="AD69">
        <v>14994414.359999999</v>
      </c>
      <c r="AE69">
        <v>92750.09</v>
      </c>
      <c r="AF69">
        <v>256851.77</v>
      </c>
      <c r="AG69">
        <v>306827809.09199989</v>
      </c>
    </row>
    <row r="70" spans="1:33" x14ac:dyDescent="0.3">
      <c r="A70" s="2">
        <v>45323</v>
      </c>
      <c r="B70">
        <v>1600363</v>
      </c>
      <c r="C70">
        <v>956989</v>
      </c>
      <c r="D70">
        <v>34396</v>
      </c>
      <c r="E70">
        <v>1639</v>
      </c>
      <c r="F70">
        <v>238</v>
      </c>
      <c r="G70">
        <v>236</v>
      </c>
      <c r="H70">
        <v>0</v>
      </c>
      <c r="I70">
        <v>2</v>
      </c>
      <c r="J70">
        <v>44</v>
      </c>
      <c r="K70">
        <v>109</v>
      </c>
      <c r="L70">
        <v>0</v>
      </c>
      <c r="M70">
        <v>0</v>
      </c>
      <c r="N70">
        <v>10</v>
      </c>
      <c r="O70">
        <v>2</v>
      </c>
      <c r="P70">
        <v>1</v>
      </c>
      <c r="Q70">
        <v>2593791</v>
      </c>
      <c r="R70">
        <v>11478130.040000007</v>
      </c>
      <c r="S70">
        <v>10508746.959999997</v>
      </c>
      <c r="T70">
        <v>11176275.789999997</v>
      </c>
      <c r="U70">
        <v>259404160.83999997</v>
      </c>
      <c r="V70">
        <v>11115274.5</v>
      </c>
      <c r="W70">
        <v>11024719.851000002</v>
      </c>
      <c r="X70">
        <v>0</v>
      </c>
      <c r="Y70">
        <v>90554.64</v>
      </c>
      <c r="Z70">
        <v>23922381.889999997</v>
      </c>
      <c r="AA70">
        <v>875638.04999999993</v>
      </c>
      <c r="AB70">
        <v>0</v>
      </c>
      <c r="AC70">
        <v>0</v>
      </c>
      <c r="AD70">
        <v>16904358.009999998</v>
      </c>
      <c r="AE70">
        <v>123201.27</v>
      </c>
      <c r="AF70">
        <v>434224.1</v>
      </c>
      <c r="AG70">
        <v>345942391.44099998</v>
      </c>
    </row>
    <row r="71" spans="1:33" x14ac:dyDescent="0.3">
      <c r="A71" s="2">
        <v>45352</v>
      </c>
      <c r="B71">
        <v>1601336</v>
      </c>
      <c r="C71">
        <v>957061</v>
      </c>
      <c r="D71">
        <v>34257</v>
      </c>
      <c r="E71">
        <v>1612</v>
      </c>
      <c r="F71">
        <v>239</v>
      </c>
      <c r="G71">
        <v>237</v>
      </c>
      <c r="H71">
        <v>0</v>
      </c>
      <c r="I71">
        <v>2</v>
      </c>
      <c r="J71">
        <v>46</v>
      </c>
      <c r="K71">
        <v>90</v>
      </c>
      <c r="L71">
        <v>2</v>
      </c>
      <c r="M71">
        <v>0</v>
      </c>
      <c r="N71">
        <v>10</v>
      </c>
      <c r="O71">
        <v>2</v>
      </c>
      <c r="P71">
        <v>1</v>
      </c>
      <c r="Q71">
        <v>2594656</v>
      </c>
      <c r="R71">
        <v>10916917.220000001</v>
      </c>
      <c r="S71">
        <v>9840196.3599999994</v>
      </c>
      <c r="T71">
        <v>10363149.630000001</v>
      </c>
      <c r="U71">
        <v>241222554.13</v>
      </c>
      <c r="V71">
        <v>10088064.830000002</v>
      </c>
      <c r="W71">
        <v>10005671.066000005</v>
      </c>
      <c r="X71">
        <v>0</v>
      </c>
      <c r="Y71">
        <v>82393.75</v>
      </c>
      <c r="Z71">
        <v>15616072.899999999</v>
      </c>
      <c r="AA71">
        <v>924676.67</v>
      </c>
      <c r="AB71">
        <v>7710616.1799999997</v>
      </c>
      <c r="AC71">
        <v>0</v>
      </c>
      <c r="AD71">
        <v>16421480.58</v>
      </c>
      <c r="AE71">
        <v>118420.77</v>
      </c>
      <c r="AF71">
        <v>195927.37</v>
      </c>
      <c r="AG71">
        <v>323418076.62599993</v>
      </c>
    </row>
    <row r="72" spans="1:33" x14ac:dyDescent="0.3">
      <c r="A72" s="2">
        <v>45383</v>
      </c>
      <c r="B72">
        <v>1611310</v>
      </c>
      <c r="C72">
        <v>976256</v>
      </c>
      <c r="D72">
        <v>33993</v>
      </c>
      <c r="E72">
        <v>1661</v>
      </c>
      <c r="F72">
        <v>252</v>
      </c>
      <c r="G72">
        <v>249</v>
      </c>
      <c r="H72">
        <v>0</v>
      </c>
      <c r="I72">
        <v>3</v>
      </c>
      <c r="J72">
        <v>44</v>
      </c>
      <c r="K72">
        <v>95</v>
      </c>
      <c r="L72">
        <v>1</v>
      </c>
      <c r="M72">
        <v>0</v>
      </c>
      <c r="N72">
        <v>10</v>
      </c>
      <c r="O72">
        <v>6</v>
      </c>
      <c r="P72">
        <v>1</v>
      </c>
      <c r="Q72">
        <v>2623629</v>
      </c>
      <c r="R72">
        <v>12077348.959999992</v>
      </c>
      <c r="S72">
        <v>11106815.199999999</v>
      </c>
      <c r="T72">
        <v>11512361.090000002</v>
      </c>
      <c r="U72">
        <v>249795497.18999994</v>
      </c>
      <c r="V72">
        <v>10573836.109999999</v>
      </c>
      <c r="W72">
        <v>10476613.237000003</v>
      </c>
      <c r="X72">
        <v>0</v>
      </c>
      <c r="Y72">
        <v>97222.862999999998</v>
      </c>
      <c r="Z72">
        <v>15487216.070000002</v>
      </c>
      <c r="AA72">
        <v>920229.83999999985</v>
      </c>
      <c r="AB72">
        <v>8680977.7899999991</v>
      </c>
      <c r="AC72">
        <v>0</v>
      </c>
      <c r="AD72">
        <v>17505272.440000001</v>
      </c>
      <c r="AE72">
        <v>152347.11000000002</v>
      </c>
      <c r="AF72">
        <v>433466.83</v>
      </c>
      <c r="AG72">
        <v>338245368.61999989</v>
      </c>
    </row>
    <row r="73" spans="1:33" x14ac:dyDescent="0.3">
      <c r="A73" s="2">
        <v>45413</v>
      </c>
      <c r="B73">
        <v>1612491</v>
      </c>
      <c r="C73">
        <v>973570</v>
      </c>
      <c r="D73">
        <v>33910</v>
      </c>
      <c r="E73">
        <v>1641</v>
      </c>
      <c r="F73">
        <v>245</v>
      </c>
      <c r="G73">
        <v>242</v>
      </c>
      <c r="H73">
        <v>0</v>
      </c>
      <c r="I73">
        <v>3</v>
      </c>
      <c r="J73">
        <v>45</v>
      </c>
      <c r="K73">
        <v>92</v>
      </c>
      <c r="L73">
        <v>1</v>
      </c>
      <c r="M73">
        <v>0</v>
      </c>
      <c r="N73">
        <v>10</v>
      </c>
      <c r="O73">
        <v>2</v>
      </c>
      <c r="P73">
        <v>1</v>
      </c>
      <c r="Q73">
        <v>2622008</v>
      </c>
      <c r="R73">
        <v>13243308.360000001</v>
      </c>
      <c r="S73">
        <v>12646040.030000007</v>
      </c>
      <c r="T73">
        <v>11803459.649999999</v>
      </c>
      <c r="U73">
        <v>261171930.32999995</v>
      </c>
      <c r="V73">
        <v>10618209.539999999</v>
      </c>
      <c r="W73">
        <v>10527466.579000002</v>
      </c>
      <c r="X73">
        <v>0</v>
      </c>
      <c r="Y73">
        <v>90742.959000000003</v>
      </c>
      <c r="Z73">
        <v>16409517.710000003</v>
      </c>
      <c r="AA73">
        <v>961504.59999999986</v>
      </c>
      <c r="AB73">
        <v>9131132.9399999995</v>
      </c>
      <c r="AC73">
        <v>0</v>
      </c>
      <c r="AD73">
        <v>17425053.649999999</v>
      </c>
      <c r="AE73">
        <v>176801.33000000002</v>
      </c>
      <c r="AF73">
        <v>391154.91</v>
      </c>
      <c r="AG73">
        <v>353978113.04799992</v>
      </c>
    </row>
    <row r="74" spans="1:33" x14ac:dyDescent="0.3">
      <c r="A74" s="2">
        <v>45444</v>
      </c>
      <c r="B74">
        <v>1614102</v>
      </c>
      <c r="C74">
        <v>980394</v>
      </c>
      <c r="D74">
        <v>33966</v>
      </c>
      <c r="E74">
        <v>1649</v>
      </c>
      <c r="F74">
        <v>253</v>
      </c>
      <c r="G74">
        <v>250</v>
      </c>
      <c r="H74">
        <v>0</v>
      </c>
      <c r="I74">
        <v>3</v>
      </c>
      <c r="J74">
        <v>43</v>
      </c>
      <c r="K74">
        <v>91</v>
      </c>
      <c r="L74">
        <v>1</v>
      </c>
      <c r="M74">
        <v>0</v>
      </c>
      <c r="N74">
        <v>10</v>
      </c>
      <c r="O74">
        <v>2</v>
      </c>
      <c r="P74">
        <v>1</v>
      </c>
      <c r="Q74">
        <v>2630512</v>
      </c>
      <c r="R74">
        <v>15109520.449999999</v>
      </c>
      <c r="S74">
        <v>14641018.050000001</v>
      </c>
      <c r="T74">
        <v>12452516.029999999</v>
      </c>
      <c r="U74">
        <v>265574621.69000003</v>
      </c>
      <c r="V74">
        <v>10207115.949999997</v>
      </c>
      <c r="W74">
        <v>10118460.41</v>
      </c>
      <c r="X74">
        <v>0</v>
      </c>
      <c r="Y74">
        <v>88655.534</v>
      </c>
      <c r="Z74">
        <v>13921021.810000002</v>
      </c>
      <c r="AA74">
        <v>616253.58000000007</v>
      </c>
      <c r="AB74">
        <v>8669151.2300000004</v>
      </c>
      <c r="AC74">
        <v>0</v>
      </c>
      <c r="AD74">
        <v>18777577.219999999</v>
      </c>
      <c r="AE74">
        <v>148855.31</v>
      </c>
      <c r="AF74">
        <v>192377.37</v>
      </c>
      <c r="AG74">
        <v>360310028.68400007</v>
      </c>
    </row>
    <row r="75" spans="1:33" x14ac:dyDescent="0.3">
      <c r="A75" s="2">
        <v>45474</v>
      </c>
      <c r="B75">
        <v>1626354</v>
      </c>
      <c r="C75">
        <v>1282205</v>
      </c>
      <c r="D75">
        <v>34183</v>
      </c>
      <c r="E75">
        <v>1619</v>
      </c>
      <c r="F75">
        <v>249</v>
      </c>
      <c r="G75">
        <v>246</v>
      </c>
      <c r="H75">
        <v>0</v>
      </c>
      <c r="I75">
        <v>3</v>
      </c>
      <c r="J75">
        <v>45</v>
      </c>
      <c r="K75">
        <v>89</v>
      </c>
      <c r="L75">
        <v>1</v>
      </c>
      <c r="M75">
        <v>0</v>
      </c>
      <c r="N75">
        <v>11</v>
      </c>
      <c r="O75">
        <v>2</v>
      </c>
      <c r="P75">
        <v>1</v>
      </c>
      <c r="Q75">
        <v>2944759</v>
      </c>
      <c r="R75">
        <v>14971679.810000006</v>
      </c>
      <c r="S75">
        <v>15593888.509999996</v>
      </c>
      <c r="T75">
        <v>12993096.219999997</v>
      </c>
      <c r="U75">
        <v>271355339.04000002</v>
      </c>
      <c r="V75">
        <v>10144373.619999999</v>
      </c>
      <c r="W75">
        <v>10062696.429000005</v>
      </c>
      <c r="X75">
        <v>0</v>
      </c>
      <c r="Y75">
        <v>81677.192999999999</v>
      </c>
      <c r="Z75">
        <v>13930802.57</v>
      </c>
      <c r="AA75">
        <v>551143.13</v>
      </c>
      <c r="AB75">
        <v>9354099.4900000002</v>
      </c>
      <c r="AC75">
        <v>0</v>
      </c>
      <c r="AD75">
        <v>16853884.449999999</v>
      </c>
      <c r="AE75">
        <v>141624.51999999999</v>
      </c>
      <c r="AF75">
        <v>54758.81</v>
      </c>
      <c r="AG75">
        <v>365944690.17200005</v>
      </c>
    </row>
    <row r="76" spans="1:33" x14ac:dyDescent="0.3">
      <c r="A76" s="2">
        <v>45505</v>
      </c>
      <c r="B76">
        <v>1623234</v>
      </c>
      <c r="C76">
        <v>997912</v>
      </c>
      <c r="D76">
        <v>34249</v>
      </c>
      <c r="E76">
        <v>1663</v>
      </c>
      <c r="F76">
        <v>247</v>
      </c>
      <c r="G76">
        <v>244</v>
      </c>
      <c r="H76">
        <v>0</v>
      </c>
      <c r="I76">
        <v>3</v>
      </c>
      <c r="J76">
        <v>48</v>
      </c>
      <c r="K76">
        <v>91</v>
      </c>
      <c r="L76">
        <v>1</v>
      </c>
      <c r="M76">
        <v>0</v>
      </c>
      <c r="N76">
        <v>10</v>
      </c>
      <c r="O76">
        <v>2</v>
      </c>
      <c r="P76">
        <v>1</v>
      </c>
      <c r="Q76">
        <v>2657458</v>
      </c>
      <c r="R76">
        <v>16326994.679999998</v>
      </c>
      <c r="S76">
        <v>16613702.979999995</v>
      </c>
      <c r="T76">
        <v>13177068.869999994</v>
      </c>
      <c r="U76">
        <v>275586461.73000002</v>
      </c>
      <c r="V76">
        <v>10441517.139999997</v>
      </c>
      <c r="W76">
        <v>10325229.896999996</v>
      </c>
      <c r="X76">
        <v>0</v>
      </c>
      <c r="Y76">
        <v>116287.226</v>
      </c>
      <c r="Z76">
        <v>15734508.25</v>
      </c>
      <c r="AA76">
        <v>455440.43999999989</v>
      </c>
      <c r="AB76">
        <v>9067319.9299999997</v>
      </c>
      <c r="AC76">
        <v>0</v>
      </c>
      <c r="AD76">
        <v>18225511.190000001</v>
      </c>
      <c r="AE76">
        <v>155605.55000000002</v>
      </c>
      <c r="AF76">
        <v>113304.08</v>
      </c>
      <c r="AG76">
        <v>375897434.82300001</v>
      </c>
    </row>
    <row r="77" spans="1:33" x14ac:dyDescent="0.3">
      <c r="A77" s="2">
        <v>45536</v>
      </c>
      <c r="B77">
        <v>1628533</v>
      </c>
      <c r="C77">
        <v>1008032</v>
      </c>
      <c r="D77">
        <v>34470</v>
      </c>
      <c r="E77">
        <v>1636</v>
      </c>
      <c r="F77">
        <v>253</v>
      </c>
      <c r="G77">
        <v>250</v>
      </c>
      <c r="H77">
        <v>0</v>
      </c>
      <c r="I77">
        <v>3</v>
      </c>
      <c r="J77">
        <v>38</v>
      </c>
      <c r="K77">
        <v>89</v>
      </c>
      <c r="L77">
        <v>1</v>
      </c>
      <c r="M77">
        <v>0</v>
      </c>
      <c r="N77">
        <v>10</v>
      </c>
      <c r="O77">
        <v>2</v>
      </c>
      <c r="P77">
        <v>1</v>
      </c>
      <c r="Q77">
        <v>2673065</v>
      </c>
      <c r="R77">
        <v>16003957.79999999</v>
      </c>
      <c r="S77">
        <v>16350156.840000011</v>
      </c>
      <c r="T77">
        <v>12934136.739999996</v>
      </c>
      <c r="U77">
        <v>265598622.55999991</v>
      </c>
      <c r="V77">
        <v>9418699.9700000007</v>
      </c>
      <c r="W77">
        <v>9307213.7459999993</v>
      </c>
      <c r="X77">
        <v>0</v>
      </c>
      <c r="Y77">
        <v>111486.209</v>
      </c>
      <c r="Z77">
        <v>15600763.869999995</v>
      </c>
      <c r="AA77">
        <v>566412.57000000007</v>
      </c>
      <c r="AB77">
        <v>9530247.0099999998</v>
      </c>
      <c r="AC77">
        <v>0</v>
      </c>
      <c r="AD77">
        <v>18531379.469999999</v>
      </c>
      <c r="AE77">
        <v>125012.58</v>
      </c>
      <c r="AF77">
        <v>42267.199999999997</v>
      </c>
      <c r="AG77">
        <v>364701656.59499991</v>
      </c>
    </row>
    <row r="78" spans="1:33" x14ac:dyDescent="0.3">
      <c r="A78" s="2">
        <v>45566</v>
      </c>
      <c r="B78">
        <v>1632763</v>
      </c>
      <c r="C78">
        <v>1019132</v>
      </c>
      <c r="D78">
        <v>34256</v>
      </c>
      <c r="E78">
        <v>1648</v>
      </c>
      <c r="F78">
        <v>246</v>
      </c>
      <c r="G78">
        <v>243</v>
      </c>
      <c r="H78">
        <v>0</v>
      </c>
      <c r="I78">
        <v>3</v>
      </c>
      <c r="J78">
        <v>39</v>
      </c>
      <c r="K78">
        <v>89</v>
      </c>
      <c r="L78">
        <v>3</v>
      </c>
      <c r="M78">
        <v>0</v>
      </c>
      <c r="N78">
        <v>10</v>
      </c>
      <c r="O78">
        <v>2</v>
      </c>
      <c r="P78">
        <v>5</v>
      </c>
      <c r="Q78">
        <v>2688193</v>
      </c>
      <c r="R78">
        <v>14061458.009999994</v>
      </c>
      <c r="S78">
        <v>14005515.050000006</v>
      </c>
      <c r="T78">
        <v>12724647.220000004</v>
      </c>
      <c r="U78">
        <v>256561677.55000001</v>
      </c>
      <c r="V78">
        <v>10329769.949999999</v>
      </c>
      <c r="W78">
        <v>10213135.539000001</v>
      </c>
      <c r="X78">
        <v>0</v>
      </c>
      <c r="Y78">
        <v>116634.389</v>
      </c>
      <c r="Z78">
        <v>15883350.489999998</v>
      </c>
      <c r="AA78">
        <v>721810.9</v>
      </c>
      <c r="AB78">
        <v>7786541.9000000004</v>
      </c>
      <c r="AC78">
        <v>0</v>
      </c>
      <c r="AD78">
        <v>17402643.219999999</v>
      </c>
      <c r="AE78">
        <v>139479.94</v>
      </c>
      <c r="AF78">
        <v>48110.81</v>
      </c>
      <c r="AG78">
        <v>349665005.01800001</v>
      </c>
    </row>
    <row r="79" spans="1:33" x14ac:dyDescent="0.3">
      <c r="A79" s="2">
        <v>45597</v>
      </c>
      <c r="B79">
        <v>1626376</v>
      </c>
      <c r="C79">
        <v>1023362</v>
      </c>
      <c r="D79">
        <v>34178</v>
      </c>
      <c r="E79">
        <v>1664</v>
      </c>
      <c r="F79">
        <v>252</v>
      </c>
      <c r="G79">
        <v>249</v>
      </c>
      <c r="H79">
        <v>0</v>
      </c>
      <c r="I79">
        <v>3</v>
      </c>
      <c r="J79">
        <v>39</v>
      </c>
      <c r="K79">
        <v>91</v>
      </c>
      <c r="L79">
        <v>1</v>
      </c>
      <c r="M79">
        <v>0</v>
      </c>
      <c r="N79">
        <v>10</v>
      </c>
      <c r="O79">
        <v>2</v>
      </c>
      <c r="P79">
        <v>1</v>
      </c>
      <c r="Q79">
        <v>2685976</v>
      </c>
      <c r="R79">
        <v>14233820.939999998</v>
      </c>
      <c r="S79">
        <v>14124433.440000001</v>
      </c>
      <c r="T79">
        <v>12750976.580000004</v>
      </c>
      <c r="U79">
        <v>265525834.85000005</v>
      </c>
      <c r="V79">
        <v>9691020.3700000029</v>
      </c>
      <c r="W79">
        <v>9587940.9689999986</v>
      </c>
      <c r="X79">
        <v>0</v>
      </c>
      <c r="Y79">
        <v>103079.38999999998</v>
      </c>
      <c r="Z79">
        <v>16789415.5</v>
      </c>
      <c r="AA79">
        <v>680802.77</v>
      </c>
      <c r="AB79">
        <v>7900292.3300000001</v>
      </c>
      <c r="AC79">
        <v>0</v>
      </c>
      <c r="AD79">
        <v>18356929.850000001</v>
      </c>
      <c r="AE79">
        <v>95056.21</v>
      </c>
      <c r="AF79">
        <v>59276.1</v>
      </c>
      <c r="AG79">
        <v>360207858.92900002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14F6-6DE7-44C3-89D0-E434016704BE}">
  <dimension ref="A1:I168"/>
  <sheetViews>
    <sheetView topLeftCell="D1" workbookViewId="0">
      <selection activeCell="K25" sqref="K25"/>
    </sheetView>
  </sheetViews>
  <sheetFormatPr defaultRowHeight="14.4" x14ac:dyDescent="0.3"/>
  <cols>
    <col min="1" max="1" width="10.33203125" bestFit="1" customWidth="1"/>
    <col min="4" max="4" width="16" bestFit="1" customWidth="1"/>
    <col min="5" max="5" width="12.77734375" customWidth="1"/>
    <col min="6" max="7" width="13.44140625" customWidth="1"/>
    <col min="8" max="8" width="16" customWidth="1"/>
    <col min="9" max="9" width="10.109375" bestFit="1" customWidth="1"/>
  </cols>
  <sheetData>
    <row r="1" spans="1:9" x14ac:dyDescent="0.3">
      <c r="E1" t="s">
        <v>66</v>
      </c>
    </row>
    <row r="2" spans="1:9" x14ac:dyDescent="0.3">
      <c r="E2" t="s">
        <v>67</v>
      </c>
    </row>
    <row r="3" spans="1:9" x14ac:dyDescent="0.3">
      <c r="E3" t="s">
        <v>68</v>
      </c>
    </row>
    <row r="5" spans="1:9" x14ac:dyDescent="0.3">
      <c r="F5" s="13" t="s">
        <v>72</v>
      </c>
      <c r="H5" s="13" t="s">
        <v>69</v>
      </c>
      <c r="I5" s="13" t="s">
        <v>74</v>
      </c>
    </row>
    <row r="6" spans="1:9" x14ac:dyDescent="0.3">
      <c r="A6" t="s">
        <v>11</v>
      </c>
      <c r="B6" t="s">
        <v>33</v>
      </c>
      <c r="C6" t="s">
        <v>49</v>
      </c>
      <c r="D6" t="s">
        <v>64</v>
      </c>
      <c r="E6" t="s">
        <v>65</v>
      </c>
      <c r="F6" t="s">
        <v>71</v>
      </c>
      <c r="G6" t="s">
        <v>73</v>
      </c>
      <c r="H6" t="s">
        <v>69</v>
      </c>
      <c r="I6" t="s">
        <v>70</v>
      </c>
    </row>
    <row r="7" spans="1:9" x14ac:dyDescent="0.3">
      <c r="A7" s="2">
        <v>43252</v>
      </c>
      <c r="B7">
        <v>593175</v>
      </c>
      <c r="C7">
        <v>12389809.890000001</v>
      </c>
      <c r="D7" s="12">
        <f>+C7/B7</f>
        <v>20.887275913516248</v>
      </c>
      <c r="H7" s="12">
        <f>AVERAGE(G7,G19,G31,G43,G55,G67,G79)</f>
        <v>2.3639765849952084</v>
      </c>
    </row>
    <row r="8" spans="1:9" x14ac:dyDescent="0.3">
      <c r="A8" s="2">
        <v>43282</v>
      </c>
      <c r="B8">
        <v>598866</v>
      </c>
      <c r="C8">
        <v>11966696.24</v>
      </c>
      <c r="D8" s="12">
        <f t="shared" ref="D8:D71" si="0">+C8/B8</f>
        <v>19.982260205121012</v>
      </c>
      <c r="H8" s="12">
        <f t="shared" ref="H8:H17" si="1">AVERAGE(G8,G20,G32,G44,G56,G68,G80)</f>
        <v>2.6882496562594582</v>
      </c>
    </row>
    <row r="9" spans="1:9" x14ac:dyDescent="0.3">
      <c r="A9" s="2">
        <v>43313</v>
      </c>
      <c r="B9">
        <v>599669</v>
      </c>
      <c r="C9">
        <v>12583762.490000006</v>
      </c>
      <c r="D9" s="12">
        <f t="shared" si="0"/>
        <v>20.984513940190347</v>
      </c>
      <c r="H9" s="12">
        <f t="shared" si="1"/>
        <v>2.7478990791349842</v>
      </c>
    </row>
    <row r="10" spans="1:9" x14ac:dyDescent="0.3">
      <c r="A10" s="2">
        <v>43344</v>
      </c>
      <c r="B10">
        <v>639991</v>
      </c>
      <c r="C10">
        <v>13204783.679999996</v>
      </c>
      <c r="D10" s="12">
        <f t="shared" si="0"/>
        <v>20.632764648252859</v>
      </c>
      <c r="H10" s="12">
        <f t="shared" si="1"/>
        <v>3.3033569975098738</v>
      </c>
    </row>
    <row r="11" spans="1:9" x14ac:dyDescent="0.3">
      <c r="A11" s="2">
        <v>43374</v>
      </c>
      <c r="B11">
        <v>611396</v>
      </c>
      <c r="C11">
        <v>11707935.160000002</v>
      </c>
      <c r="D11" s="12">
        <f t="shared" si="0"/>
        <v>19.149512198313371</v>
      </c>
      <c r="H11" s="12">
        <f t="shared" si="1"/>
        <v>0.98352375158235894</v>
      </c>
    </row>
    <row r="12" spans="1:9" x14ac:dyDescent="0.3">
      <c r="A12" s="2">
        <v>43405</v>
      </c>
      <c r="B12">
        <v>616497</v>
      </c>
      <c r="C12">
        <v>11260542.779999997</v>
      </c>
      <c r="D12" s="12">
        <f t="shared" si="0"/>
        <v>18.265365086934725</v>
      </c>
      <c r="E12" s="12">
        <f>AVERAGE(D7:D18)</f>
        <v>17.330899496830572</v>
      </c>
      <c r="F12" s="12">
        <f>AVERAGE(E12:E13)</f>
        <v>17.20784525165633</v>
      </c>
      <c r="G12" s="12">
        <f>+D12-F12</f>
        <v>1.057519835278395</v>
      </c>
      <c r="H12" s="12">
        <f t="shared" si="1"/>
        <v>0.52423000665185293</v>
      </c>
      <c r="I12" s="12">
        <f>+D12-F12-H12</f>
        <v>0.53328982862654206</v>
      </c>
    </row>
    <row r="13" spans="1:9" x14ac:dyDescent="0.3">
      <c r="A13" s="2">
        <v>43435</v>
      </c>
      <c r="B13">
        <v>606837</v>
      </c>
      <c r="C13">
        <v>10148304.540000003</v>
      </c>
      <c r="D13" s="12">
        <f t="shared" si="0"/>
        <v>16.723279134265056</v>
      </c>
      <c r="E13" s="12">
        <f t="shared" ref="E13:E76" si="2">AVERAGE(D8:D19)</f>
        <v>17.084791006482092</v>
      </c>
      <c r="F13" s="12">
        <f t="shared" ref="F13:F76" si="3">AVERAGE(E13:E14)</f>
        <v>17.069852911456792</v>
      </c>
      <c r="G13" s="12">
        <f>+D13-F13</f>
        <v>-0.3465737771917361</v>
      </c>
      <c r="H13" s="12">
        <f t="shared" si="1"/>
        <v>-1.0381206541324148</v>
      </c>
      <c r="I13" s="12">
        <f>+D13-F13-H13</f>
        <v>0.69154687694067873</v>
      </c>
    </row>
    <row r="14" spans="1:9" x14ac:dyDescent="0.3">
      <c r="A14" s="2">
        <v>43466</v>
      </c>
      <c r="B14">
        <v>582435</v>
      </c>
      <c r="C14">
        <v>8437863.2599999979</v>
      </c>
      <c r="D14" s="12">
        <f t="shared" si="0"/>
        <v>14.4872187626087</v>
      </c>
      <c r="E14" s="12">
        <f t="shared" si="2"/>
        <v>17.054914816431495</v>
      </c>
      <c r="F14" s="12">
        <f t="shared" si="3"/>
        <v>17.028898691033735</v>
      </c>
      <c r="G14" s="12">
        <f t="shared" ref="G14:G77" si="4">+D14-F14</f>
        <v>-2.5416799284250349</v>
      </c>
      <c r="H14" s="12">
        <f t="shared" si="1"/>
        <v>-2.2375767718304376</v>
      </c>
      <c r="I14" s="12">
        <f t="shared" ref="I14:I77" si="5">+D14-F14-H14</f>
        <v>-0.3041031565945973</v>
      </c>
    </row>
    <row r="15" spans="1:9" x14ac:dyDescent="0.3">
      <c r="A15" s="2">
        <v>43497</v>
      </c>
      <c r="B15">
        <v>641584</v>
      </c>
      <c r="C15">
        <v>7818537.4700000025</v>
      </c>
      <c r="D15" s="12">
        <f t="shared" si="0"/>
        <v>12.186303695229311</v>
      </c>
      <c r="E15" s="12">
        <f t="shared" si="2"/>
        <v>17.002882565635975</v>
      </c>
      <c r="F15" s="12">
        <f t="shared" si="3"/>
        <v>17.027861038773914</v>
      </c>
      <c r="G15" s="12">
        <f t="shared" si="4"/>
        <v>-4.8415573435446024</v>
      </c>
      <c r="H15" s="12">
        <f t="shared" si="1"/>
        <v>-3.5476678222870839</v>
      </c>
      <c r="I15" s="12">
        <f t="shared" si="5"/>
        <v>-1.2938895212575185</v>
      </c>
    </row>
    <row r="16" spans="1:9" x14ac:dyDescent="0.3">
      <c r="A16" s="2">
        <v>43525</v>
      </c>
      <c r="B16">
        <v>641980</v>
      </c>
      <c r="C16">
        <v>9274163.7600000072</v>
      </c>
      <c r="D16" s="12">
        <f t="shared" si="0"/>
        <v>14.446187980933997</v>
      </c>
      <c r="E16" s="12">
        <f t="shared" si="2"/>
        <v>17.052839511911852</v>
      </c>
      <c r="F16" s="12">
        <f t="shared" si="3"/>
        <v>17.020965821690602</v>
      </c>
      <c r="G16" s="12">
        <f t="shared" si="4"/>
        <v>-2.5747778407566049</v>
      </c>
      <c r="H16" s="12">
        <f t="shared" si="1"/>
        <v>-2.8158740063262453</v>
      </c>
      <c r="I16" s="12">
        <f t="shared" si="5"/>
        <v>0.24109616556964042</v>
      </c>
    </row>
    <row r="17" spans="1:9" x14ac:dyDescent="0.3">
      <c r="A17" s="2">
        <v>43556</v>
      </c>
      <c r="B17">
        <v>656726</v>
      </c>
      <c r="C17">
        <v>11384551.870000005</v>
      </c>
      <c r="D17" s="12">
        <f t="shared" si="0"/>
        <v>17.335314682226688</v>
      </c>
      <c r="E17" s="12">
        <f t="shared" si="2"/>
        <v>16.989092131469349</v>
      </c>
      <c r="F17" s="12">
        <f t="shared" si="3"/>
        <v>16.895504702328502</v>
      </c>
      <c r="G17" s="12">
        <f t="shared" si="4"/>
        <v>0.43980997989818604</v>
      </c>
      <c r="H17" s="12">
        <f t="shared" si="1"/>
        <v>-1.3706707804393619</v>
      </c>
      <c r="I17" s="12">
        <f t="shared" si="5"/>
        <v>1.8104807603375479</v>
      </c>
    </row>
    <row r="18" spans="1:9" x14ac:dyDescent="0.3">
      <c r="A18" s="2">
        <v>43586</v>
      </c>
      <c r="B18">
        <v>643150</v>
      </c>
      <c r="C18">
        <v>8290716.5500000017</v>
      </c>
      <c r="D18" s="12">
        <f t="shared" si="0"/>
        <v>12.890797714374566</v>
      </c>
      <c r="E18" s="12">
        <f t="shared" si="2"/>
        <v>16.801917273187659</v>
      </c>
      <c r="F18" s="12">
        <f t="shared" si="3"/>
        <v>16.839043267994654</v>
      </c>
      <c r="G18" s="12">
        <f t="shared" si="4"/>
        <v>-3.9482455536200884</v>
      </c>
      <c r="H18" s="12">
        <f>AVERAGE(G18,G30,G42,G54,G66,G78,E90)</f>
        <v>-0.77347739641433289</v>
      </c>
      <c r="I18" s="12">
        <f t="shared" si="5"/>
        <v>-3.1747681572057553</v>
      </c>
    </row>
    <row r="19" spans="1:9" x14ac:dyDescent="0.3">
      <c r="A19" s="2">
        <v>43617</v>
      </c>
      <c r="B19">
        <v>610612</v>
      </c>
      <c r="C19">
        <v>10950699.750000002</v>
      </c>
      <c r="D19" s="12">
        <f t="shared" si="0"/>
        <v>17.933974029334507</v>
      </c>
      <c r="E19" s="12">
        <f t="shared" si="2"/>
        <v>16.87616926280165</v>
      </c>
      <c r="F19" s="12">
        <f t="shared" si="3"/>
        <v>16.915525710050527</v>
      </c>
      <c r="G19" s="12">
        <f t="shared" si="4"/>
        <v>1.0184483192839799</v>
      </c>
      <c r="H19" s="14">
        <f>+H7-AVERAGE($H$7:$H$18)</f>
        <v>2.2949891979365531</v>
      </c>
      <c r="I19" s="12">
        <f t="shared" si="5"/>
        <v>-1.2765408786525732</v>
      </c>
    </row>
    <row r="20" spans="1:9" x14ac:dyDescent="0.3">
      <c r="A20" s="2">
        <v>43647</v>
      </c>
      <c r="B20">
        <v>689795</v>
      </c>
      <c r="C20">
        <v>13536361.820000004</v>
      </c>
      <c r="D20" s="12">
        <f t="shared" si="0"/>
        <v>19.623745924513809</v>
      </c>
      <c r="E20" s="12">
        <f t="shared" si="2"/>
        <v>16.954882157299405</v>
      </c>
      <c r="F20" s="12">
        <f t="shared" si="3"/>
        <v>16.982152407636345</v>
      </c>
      <c r="G20" s="12">
        <f t="shared" si="4"/>
        <v>2.6415935168774638</v>
      </c>
      <c r="H20" s="14">
        <f t="shared" ref="H20:H30" si="6">+H8-AVERAGE($H$7:$H$18)</f>
        <v>2.619262269200803</v>
      </c>
      <c r="I20" s="12">
        <f t="shared" si="5"/>
        <v>2.2331247676660837E-2</v>
      </c>
    </row>
    <row r="21" spans="1:9" x14ac:dyDescent="0.3">
      <c r="A21" s="2">
        <v>43678</v>
      </c>
      <c r="B21">
        <v>675487</v>
      </c>
      <c r="C21">
        <v>13753001.059999995</v>
      </c>
      <c r="D21" s="12">
        <f t="shared" si="0"/>
        <v>20.360126930644107</v>
      </c>
      <c r="E21" s="12">
        <f t="shared" si="2"/>
        <v>17.009422657973285</v>
      </c>
      <c r="F21" s="12">
        <f t="shared" si="3"/>
        <v>17.088506948487428</v>
      </c>
      <c r="G21" s="12">
        <f t="shared" si="4"/>
        <v>3.2716199821566789</v>
      </c>
      <c r="H21" s="14">
        <f t="shared" si="6"/>
        <v>2.678911692076329</v>
      </c>
      <c r="I21" s="12">
        <f t="shared" si="5"/>
        <v>0.59270829008034998</v>
      </c>
    </row>
    <row r="22" spans="1:9" x14ac:dyDescent="0.3">
      <c r="A22" s="2">
        <v>43709</v>
      </c>
      <c r="B22">
        <v>657797</v>
      </c>
      <c r="C22">
        <v>13966509.039999999</v>
      </c>
      <c r="D22" s="12">
        <f t="shared" si="0"/>
        <v>21.232248003563409</v>
      </c>
      <c r="E22" s="12">
        <f t="shared" si="2"/>
        <v>17.167591239001574</v>
      </c>
      <c r="F22" s="12">
        <f t="shared" si="3"/>
        <v>17.111862225921641</v>
      </c>
      <c r="G22" s="12">
        <f t="shared" si="4"/>
        <v>4.1203857776417685</v>
      </c>
      <c r="H22" s="14">
        <f t="shared" si="6"/>
        <v>3.2343696104512185</v>
      </c>
      <c r="I22" s="12">
        <f t="shared" si="5"/>
        <v>0.88601616719054999</v>
      </c>
    </row>
    <row r="23" spans="1:9" x14ac:dyDescent="0.3">
      <c r="A23" s="2">
        <v>43739</v>
      </c>
      <c r="B23">
        <v>655788</v>
      </c>
      <c r="C23">
        <v>12056363.099999994</v>
      </c>
      <c r="D23" s="12">
        <f t="shared" si="0"/>
        <v>18.384543633003339</v>
      </c>
      <c r="E23" s="12">
        <f t="shared" si="2"/>
        <v>17.056133212841711</v>
      </c>
      <c r="F23" s="12">
        <f t="shared" si="3"/>
        <v>17.228111155744656</v>
      </c>
      <c r="G23" s="12">
        <f t="shared" si="4"/>
        <v>1.1564324772586829</v>
      </c>
      <c r="H23" s="14">
        <f t="shared" si="6"/>
        <v>0.91453636452370379</v>
      </c>
      <c r="I23" s="12">
        <f t="shared" si="5"/>
        <v>0.24189611273497913</v>
      </c>
    </row>
    <row r="24" spans="1:9" x14ac:dyDescent="0.3">
      <c r="A24" s="2">
        <v>43770</v>
      </c>
      <c r="B24">
        <v>660668</v>
      </c>
      <c r="C24">
        <v>10583416.950000003</v>
      </c>
      <c r="D24" s="12">
        <f t="shared" si="0"/>
        <v>16.019266787554418</v>
      </c>
      <c r="E24" s="12">
        <f t="shared" si="2"/>
        <v>17.400089098647598</v>
      </c>
      <c r="F24" s="12">
        <f t="shared" si="3"/>
        <v>17.45468818040689</v>
      </c>
      <c r="G24" s="12">
        <f t="shared" si="4"/>
        <v>-1.4354213928524722</v>
      </c>
      <c r="H24" s="14">
        <f t="shared" si="6"/>
        <v>0.45524261959319773</v>
      </c>
      <c r="I24" s="12">
        <f t="shared" si="5"/>
        <v>-1.89066401244567</v>
      </c>
    </row>
    <row r="25" spans="1:9" x14ac:dyDescent="0.3">
      <c r="A25" s="2">
        <v>43800</v>
      </c>
      <c r="B25">
        <v>659715</v>
      </c>
      <c r="C25">
        <v>11620419.91</v>
      </c>
      <c r="D25" s="12">
        <f t="shared" si="0"/>
        <v>17.614303009632948</v>
      </c>
      <c r="E25" s="12">
        <f t="shared" si="2"/>
        <v>17.509287262166186</v>
      </c>
      <c r="F25" s="12">
        <f t="shared" si="3"/>
        <v>17.488020658564345</v>
      </c>
      <c r="G25" s="12">
        <f t="shared" si="4"/>
        <v>0.1262823510686033</v>
      </c>
      <c r="H25" s="14">
        <f t="shared" si="6"/>
        <v>-1.1071080411910701</v>
      </c>
      <c r="I25" s="12">
        <f t="shared" si="5"/>
        <v>1.2333903922596734</v>
      </c>
    </row>
    <row r="26" spans="1:9" x14ac:dyDescent="0.3">
      <c r="A26" s="2">
        <v>43831</v>
      </c>
      <c r="B26">
        <v>669491</v>
      </c>
      <c r="C26">
        <v>10331433.470000001</v>
      </c>
      <c r="D26" s="12">
        <f t="shared" si="0"/>
        <v>15.431773496581732</v>
      </c>
      <c r="E26" s="12">
        <f t="shared" si="2"/>
        <v>17.466754054962504</v>
      </c>
      <c r="F26" s="12">
        <f t="shared" si="3"/>
        <v>17.412048004659596</v>
      </c>
      <c r="G26" s="12">
        <f t="shared" si="4"/>
        <v>-1.9802745080778639</v>
      </c>
      <c r="H26" s="14">
        <f t="shared" si="6"/>
        <v>-2.3065641588890928</v>
      </c>
      <c r="I26" s="12">
        <f t="shared" si="5"/>
        <v>0.32628965081122896</v>
      </c>
    </row>
    <row r="27" spans="1:9" x14ac:dyDescent="0.3">
      <c r="A27" s="2">
        <v>43862</v>
      </c>
      <c r="B27">
        <v>673848</v>
      </c>
      <c r="C27">
        <v>8652740.4600000065</v>
      </c>
      <c r="D27" s="12">
        <f t="shared" si="0"/>
        <v>12.840789703315892</v>
      </c>
      <c r="E27" s="12">
        <f t="shared" si="2"/>
        <v>17.357341954356688</v>
      </c>
      <c r="F27" s="12">
        <f t="shared" si="3"/>
        <v>17.297002401255742</v>
      </c>
      <c r="G27" s="12">
        <f t="shared" si="4"/>
        <v>-4.4562126979398506</v>
      </c>
      <c r="H27" s="14">
        <f t="shared" si="6"/>
        <v>-3.6166552093457391</v>
      </c>
      <c r="I27" s="12">
        <f t="shared" si="5"/>
        <v>-0.8395574885941115</v>
      </c>
    </row>
    <row r="28" spans="1:9" x14ac:dyDescent="0.3">
      <c r="A28" s="2">
        <v>43891</v>
      </c>
      <c r="B28">
        <v>663199</v>
      </c>
      <c r="C28">
        <v>10839464.360000007</v>
      </c>
      <c r="D28" s="12">
        <f t="shared" si="0"/>
        <v>16.344210953273461</v>
      </c>
      <c r="E28" s="12">
        <f t="shared" si="2"/>
        <v>17.236662848154797</v>
      </c>
      <c r="F28" s="12">
        <f t="shared" si="3"/>
        <v>17.156050412490949</v>
      </c>
      <c r="G28" s="12">
        <f t="shared" si="4"/>
        <v>-0.81183945921748801</v>
      </c>
      <c r="H28" s="14">
        <f t="shared" si="6"/>
        <v>-2.8848613933849006</v>
      </c>
      <c r="I28" s="12">
        <f t="shared" si="5"/>
        <v>2.0730219341674125</v>
      </c>
    </row>
    <row r="29" spans="1:9" x14ac:dyDescent="0.3">
      <c r="A29" s="2">
        <v>43922</v>
      </c>
      <c r="B29">
        <v>670764</v>
      </c>
      <c r="C29">
        <v>10730760.640000001</v>
      </c>
      <c r="D29" s="12">
        <f t="shared" si="0"/>
        <v>15.997818368308378</v>
      </c>
      <c r="E29" s="12">
        <f t="shared" si="2"/>
        <v>17.0754379768271</v>
      </c>
      <c r="F29" s="12">
        <f t="shared" si="3"/>
        <v>17.156517950976859</v>
      </c>
      <c r="G29" s="12">
        <f t="shared" si="4"/>
        <v>-1.1586995826684809</v>
      </c>
      <c r="H29" s="14">
        <f t="shared" si="6"/>
        <v>-1.4396581674980171</v>
      </c>
      <c r="I29" s="12">
        <f t="shared" si="5"/>
        <v>0.28095858482953617</v>
      </c>
    </row>
    <row r="30" spans="1:9" x14ac:dyDescent="0.3">
      <c r="A30" s="2">
        <v>43952</v>
      </c>
      <c r="B30">
        <v>693781</v>
      </c>
      <c r="C30">
        <v>11806951.229999995</v>
      </c>
      <c r="D30" s="12">
        <f t="shared" si="0"/>
        <v>17.018268344045161</v>
      </c>
      <c r="E30" s="12">
        <f t="shared" si="2"/>
        <v>17.237597925126618</v>
      </c>
      <c r="F30" s="12">
        <f t="shared" si="3"/>
        <v>17.139666001871564</v>
      </c>
      <c r="G30" s="12">
        <f t="shared" si="4"/>
        <v>-0.1213976578264031</v>
      </c>
      <c r="H30" s="12">
        <f t="shared" si="6"/>
        <v>-0.84246478347298803</v>
      </c>
      <c r="I30" s="12">
        <f t="shared" si="5"/>
        <v>0.72106712564658493</v>
      </c>
    </row>
    <row r="31" spans="1:9" x14ac:dyDescent="0.3">
      <c r="A31" s="2">
        <v>43983</v>
      </c>
      <c r="B31">
        <v>687954</v>
      </c>
      <c r="C31">
        <v>13239228.930000005</v>
      </c>
      <c r="D31" s="12">
        <f t="shared" si="0"/>
        <v>19.244351991557583</v>
      </c>
      <c r="E31" s="12">
        <f t="shared" si="2"/>
        <v>17.041734078616511</v>
      </c>
      <c r="F31" s="12">
        <f t="shared" si="3"/>
        <v>16.994103227280206</v>
      </c>
      <c r="G31" s="12">
        <f t="shared" si="4"/>
        <v>2.2502487642773765</v>
      </c>
      <c r="H31" s="12">
        <f>+H19</f>
        <v>2.2949891979365531</v>
      </c>
      <c r="I31" s="12">
        <f t="shared" si="5"/>
        <v>-4.4740433659176571E-2</v>
      </c>
    </row>
    <row r="32" spans="1:9" x14ac:dyDescent="0.3">
      <c r="A32" s="2">
        <v>44013</v>
      </c>
      <c r="B32">
        <v>684640</v>
      </c>
      <c r="C32">
        <v>13085762.189999996</v>
      </c>
      <c r="D32" s="12">
        <f t="shared" si="0"/>
        <v>19.113347438069635</v>
      </c>
      <c r="E32" s="12">
        <f t="shared" si="2"/>
        <v>16.946472375943905</v>
      </c>
      <c r="F32" s="12">
        <f t="shared" si="3"/>
        <v>16.944459463525583</v>
      </c>
      <c r="G32" s="12">
        <f t="shared" si="4"/>
        <v>2.1688879745440524</v>
      </c>
      <c r="H32" s="12">
        <f t="shared" ref="H32:H84" si="7">+H20</f>
        <v>2.619262269200803</v>
      </c>
      <c r="I32" s="12">
        <f t="shared" si="5"/>
        <v>-0.45037429465675061</v>
      </c>
    </row>
    <row r="33" spans="1:9" x14ac:dyDescent="0.3">
      <c r="A33" s="2">
        <v>44044</v>
      </c>
      <c r="B33">
        <v>722037</v>
      </c>
      <c r="C33">
        <v>13752769.950000001</v>
      </c>
      <c r="D33" s="12">
        <f t="shared" si="0"/>
        <v>19.047181723374287</v>
      </c>
      <c r="E33" s="12">
        <f t="shared" si="2"/>
        <v>16.942446551107263</v>
      </c>
      <c r="F33" s="12">
        <f t="shared" si="3"/>
        <v>16.817625032086177</v>
      </c>
      <c r="G33" s="12">
        <f t="shared" si="4"/>
        <v>2.22955669128811</v>
      </c>
      <c r="H33" s="12">
        <f t="shared" si="7"/>
        <v>2.678911692076329</v>
      </c>
      <c r="I33" s="12">
        <f t="shared" si="5"/>
        <v>-0.44935500078821899</v>
      </c>
    </row>
    <row r="34" spans="1:9" x14ac:dyDescent="0.3">
      <c r="A34" s="2">
        <v>44075</v>
      </c>
      <c r="B34">
        <v>696694</v>
      </c>
      <c r="C34">
        <v>13783462.879999995</v>
      </c>
      <c r="D34" s="12">
        <f t="shared" si="0"/>
        <v>19.784098729140762</v>
      </c>
      <c r="E34" s="12">
        <f t="shared" si="2"/>
        <v>16.692803513065094</v>
      </c>
      <c r="F34" s="12">
        <f t="shared" si="3"/>
        <v>16.652336832150539</v>
      </c>
      <c r="G34" s="12">
        <f t="shared" si="4"/>
        <v>3.1317618969902234</v>
      </c>
      <c r="H34" s="12">
        <f t="shared" si="7"/>
        <v>3.2343696104512185</v>
      </c>
      <c r="I34" s="12">
        <f t="shared" si="5"/>
        <v>-0.10260771346099506</v>
      </c>
    </row>
    <row r="35" spans="1:9" x14ac:dyDescent="0.3">
      <c r="A35" s="2">
        <v>44105</v>
      </c>
      <c r="B35">
        <v>700736</v>
      </c>
      <c r="C35">
        <v>11526998.709999999</v>
      </c>
      <c r="D35" s="12">
        <f t="shared" si="0"/>
        <v>16.449845177070966</v>
      </c>
      <c r="E35" s="12">
        <f t="shared" si="2"/>
        <v>16.611870151235987</v>
      </c>
      <c r="F35" s="12">
        <f t="shared" si="3"/>
        <v>16.632171374667308</v>
      </c>
      <c r="G35" s="12">
        <f t="shared" si="4"/>
        <v>-0.18232619759634261</v>
      </c>
      <c r="H35" s="12">
        <f t="shared" si="7"/>
        <v>0.91453636452370379</v>
      </c>
      <c r="I35" s="12">
        <f t="shared" si="5"/>
        <v>-1.0968625621200463</v>
      </c>
    </row>
    <row r="36" spans="1:9" x14ac:dyDescent="0.3">
      <c r="A36" s="2">
        <v>44136</v>
      </c>
      <c r="B36">
        <v>703051</v>
      </c>
      <c r="C36">
        <v>12630442.1</v>
      </c>
      <c r="D36" s="12">
        <f t="shared" si="0"/>
        <v>17.965186167148612</v>
      </c>
      <c r="E36" s="12">
        <f t="shared" si="2"/>
        <v>16.652472598098626</v>
      </c>
      <c r="F36" s="12">
        <f t="shared" si="3"/>
        <v>16.700567523605855</v>
      </c>
      <c r="G36" s="12">
        <f t="shared" si="4"/>
        <v>1.2646186435427573</v>
      </c>
      <c r="H36" s="12">
        <f t="shared" si="7"/>
        <v>0.45524261959319773</v>
      </c>
      <c r="I36" s="12">
        <f t="shared" si="5"/>
        <v>0.80937602394955954</v>
      </c>
    </row>
    <row r="37" spans="1:9" x14ac:dyDescent="0.3">
      <c r="A37" s="2">
        <v>44166</v>
      </c>
      <c r="B37">
        <v>705005</v>
      </c>
      <c r="C37">
        <v>10761151.799999997</v>
      </c>
      <c r="D37" s="12">
        <f t="shared" si="0"/>
        <v>15.263936851511687</v>
      </c>
      <c r="E37" s="12">
        <f t="shared" si="2"/>
        <v>16.748662449113088</v>
      </c>
      <c r="F37" s="12">
        <f t="shared" si="3"/>
        <v>16.773500664094552</v>
      </c>
      <c r="G37" s="12">
        <f t="shared" si="4"/>
        <v>-1.509563812582865</v>
      </c>
      <c r="H37" s="12">
        <f t="shared" si="7"/>
        <v>-1.1071080411910701</v>
      </c>
      <c r="I37" s="12">
        <f t="shared" si="5"/>
        <v>-0.40245577139179489</v>
      </c>
    </row>
    <row r="38" spans="1:9" x14ac:dyDescent="0.3">
      <c r="A38" s="2">
        <v>44197</v>
      </c>
      <c r="B38">
        <v>711621</v>
      </c>
      <c r="C38">
        <v>10168091.349999994</v>
      </c>
      <c r="D38" s="12">
        <f t="shared" si="0"/>
        <v>14.288633064510455</v>
      </c>
      <c r="E38" s="12">
        <f t="shared" si="2"/>
        <v>16.798338879076017</v>
      </c>
      <c r="F38" s="12">
        <f t="shared" si="3"/>
        <v>16.878452082812238</v>
      </c>
      <c r="G38" s="12">
        <f t="shared" si="4"/>
        <v>-2.5898190183017835</v>
      </c>
      <c r="H38" s="12">
        <f t="shared" si="7"/>
        <v>-2.3065641588890928</v>
      </c>
      <c r="I38" s="12">
        <f t="shared" si="5"/>
        <v>-0.28325485941269068</v>
      </c>
    </row>
    <row r="39" spans="1:9" x14ac:dyDescent="0.3">
      <c r="A39" s="2">
        <v>44228</v>
      </c>
      <c r="B39">
        <v>711572</v>
      </c>
      <c r="C39">
        <v>9102770.4399999864</v>
      </c>
      <c r="D39" s="12">
        <f t="shared" si="0"/>
        <v>12.792479805276185</v>
      </c>
      <c r="E39" s="12">
        <f t="shared" si="2"/>
        <v>16.958565286548456</v>
      </c>
      <c r="F39" s="12">
        <f t="shared" si="3"/>
        <v>16.925517355402754</v>
      </c>
      <c r="G39" s="12">
        <f t="shared" si="4"/>
        <v>-4.1330375501265681</v>
      </c>
      <c r="H39" s="12">
        <f t="shared" si="7"/>
        <v>-3.6166552093457391</v>
      </c>
      <c r="I39" s="12">
        <f t="shared" si="5"/>
        <v>-0.51638234078082901</v>
      </c>
    </row>
    <row r="40" spans="1:9" x14ac:dyDescent="0.3">
      <c r="A40" s="2">
        <v>44256</v>
      </c>
      <c r="B40">
        <v>715216</v>
      </c>
      <c r="C40">
        <v>9547056.8400000054</v>
      </c>
      <c r="D40" s="12">
        <f t="shared" si="0"/>
        <v>13.348494496767417</v>
      </c>
      <c r="E40" s="12">
        <f t="shared" si="2"/>
        <v>16.892469424257047</v>
      </c>
      <c r="F40" s="12">
        <f t="shared" si="3"/>
        <v>16.933551439234293</v>
      </c>
      <c r="G40" s="12">
        <f t="shared" si="4"/>
        <v>-3.5850569424668759</v>
      </c>
      <c r="H40" s="12">
        <f t="shared" si="7"/>
        <v>-2.8848613933849006</v>
      </c>
      <c r="I40" s="12">
        <f t="shared" si="5"/>
        <v>-0.70019554908197534</v>
      </c>
    </row>
    <row r="41" spans="1:9" x14ac:dyDescent="0.3">
      <c r="A41" s="2">
        <v>44287</v>
      </c>
      <c r="B41">
        <v>719979</v>
      </c>
      <c r="C41">
        <v>10818849.419999991</v>
      </c>
      <c r="D41" s="12">
        <f t="shared" si="0"/>
        <v>15.026618026359088</v>
      </c>
      <c r="E41" s="12">
        <f t="shared" si="2"/>
        <v>16.974633454211535</v>
      </c>
      <c r="F41" s="12">
        <f t="shared" si="3"/>
        <v>16.971080897307992</v>
      </c>
      <c r="G41" s="12">
        <f t="shared" si="4"/>
        <v>-1.9444628709489038</v>
      </c>
      <c r="H41" s="12">
        <f t="shared" si="7"/>
        <v>-1.4396581674980171</v>
      </c>
      <c r="I41" s="12">
        <f t="shared" si="5"/>
        <v>-0.50480470345088668</v>
      </c>
    </row>
    <row r="42" spans="1:9" x14ac:dyDescent="0.3">
      <c r="A42" s="2">
        <v>44317</v>
      </c>
      <c r="B42">
        <v>728984</v>
      </c>
      <c r="C42">
        <v>12761227.739999993</v>
      </c>
      <c r="D42" s="12">
        <f t="shared" si="0"/>
        <v>17.505497706396838</v>
      </c>
      <c r="E42" s="12">
        <f t="shared" si="2"/>
        <v>16.967528340404453</v>
      </c>
      <c r="F42" s="12">
        <f t="shared" si="3"/>
        <v>16.974962864881586</v>
      </c>
      <c r="G42" s="12">
        <f t="shared" si="4"/>
        <v>0.53053484151525154</v>
      </c>
      <c r="H42" s="12">
        <f t="shared" si="7"/>
        <v>-0.84246478347298803</v>
      </c>
      <c r="I42" s="12">
        <f t="shared" si="5"/>
        <v>1.3729996249882395</v>
      </c>
    </row>
    <row r="43" spans="1:9" x14ac:dyDescent="0.3">
      <c r="A43" s="2">
        <v>44348</v>
      </c>
      <c r="B43">
        <v>726546</v>
      </c>
      <c r="C43">
        <v>14820543.179999998</v>
      </c>
      <c r="D43" s="12">
        <f t="shared" si="0"/>
        <v>20.398630203731074</v>
      </c>
      <c r="E43" s="12">
        <f t="shared" si="2"/>
        <v>16.98239738935872</v>
      </c>
      <c r="F43" s="12">
        <f t="shared" si="3"/>
        <v>16.999021560052142</v>
      </c>
      <c r="G43" s="12">
        <f t="shared" si="4"/>
        <v>3.3996086436789312</v>
      </c>
      <c r="H43" s="12">
        <f t="shared" si="7"/>
        <v>2.2949891979365531</v>
      </c>
      <c r="I43" s="12">
        <f t="shared" si="5"/>
        <v>1.1046194457423781</v>
      </c>
    </row>
    <row r="44" spans="1:9" x14ac:dyDescent="0.3">
      <c r="A44" s="2">
        <v>44378</v>
      </c>
      <c r="B44">
        <v>740826</v>
      </c>
      <c r="C44">
        <v>14601283.819999991</v>
      </c>
      <c r="D44" s="12">
        <f t="shared" si="0"/>
        <v>19.709464597624802</v>
      </c>
      <c r="E44" s="12">
        <f t="shared" si="2"/>
        <v>17.015645730745565</v>
      </c>
      <c r="F44" s="12">
        <f t="shared" si="3"/>
        <v>17.028574345237313</v>
      </c>
      <c r="G44" s="12">
        <f t="shared" si="4"/>
        <v>2.6808902523874885</v>
      </c>
      <c r="H44" s="12">
        <f t="shared" si="7"/>
        <v>2.619262269200803</v>
      </c>
      <c r="I44" s="12">
        <f t="shared" si="5"/>
        <v>6.1627983186685498E-2</v>
      </c>
    </row>
    <row r="45" spans="1:9" x14ac:dyDescent="0.3">
      <c r="A45" s="2">
        <v>44409</v>
      </c>
      <c r="B45">
        <v>746743</v>
      </c>
      <c r="C45">
        <v>15659124.999999996</v>
      </c>
      <c r="D45" s="12">
        <f t="shared" si="0"/>
        <v>20.969898613043572</v>
      </c>
      <c r="E45" s="12">
        <f t="shared" si="2"/>
        <v>17.041502959729062</v>
      </c>
      <c r="F45" s="12">
        <f t="shared" si="3"/>
        <v>16.984079633666873</v>
      </c>
      <c r="G45" s="12">
        <f t="shared" si="4"/>
        <v>3.9858189793766989</v>
      </c>
      <c r="H45" s="12">
        <f t="shared" si="7"/>
        <v>2.678911692076329</v>
      </c>
      <c r="I45" s="12">
        <f t="shared" si="5"/>
        <v>1.30690728730037</v>
      </c>
    </row>
    <row r="46" spans="1:9" x14ac:dyDescent="0.3">
      <c r="A46" s="2">
        <v>44440</v>
      </c>
      <c r="B46">
        <v>748939</v>
      </c>
      <c r="C46">
        <v>14223061.890000002</v>
      </c>
      <c r="D46" s="12">
        <f t="shared" si="0"/>
        <v>18.990948381643904</v>
      </c>
      <c r="E46" s="12">
        <f t="shared" si="2"/>
        <v>16.926656307604688</v>
      </c>
      <c r="F46" s="12">
        <f t="shared" si="3"/>
        <v>16.883950590567608</v>
      </c>
      <c r="G46" s="12">
        <f t="shared" si="4"/>
        <v>2.1069977910762958</v>
      </c>
      <c r="H46" s="12">
        <f t="shared" si="7"/>
        <v>3.2343696104512185</v>
      </c>
      <c r="I46" s="12">
        <f t="shared" si="5"/>
        <v>-1.1273718193749227</v>
      </c>
    </row>
    <row r="47" spans="1:9" x14ac:dyDescent="0.3">
      <c r="A47" s="2">
        <v>44470</v>
      </c>
      <c r="B47">
        <v>752394</v>
      </c>
      <c r="C47">
        <v>13118601.490000013</v>
      </c>
      <c r="D47" s="12">
        <f t="shared" si="0"/>
        <v>17.435813536524766</v>
      </c>
      <c r="E47" s="12">
        <f t="shared" si="2"/>
        <v>16.841244873530528</v>
      </c>
      <c r="F47" s="12">
        <f t="shared" si="3"/>
        <v>16.789946888774871</v>
      </c>
      <c r="G47" s="12">
        <f t="shared" si="4"/>
        <v>0.64586664774989444</v>
      </c>
      <c r="H47" s="12">
        <f t="shared" si="7"/>
        <v>0.91453636452370379</v>
      </c>
      <c r="I47" s="12">
        <f t="shared" si="5"/>
        <v>-0.26866971677380935</v>
      </c>
    </row>
    <row r="48" spans="1:9" x14ac:dyDescent="0.3">
      <c r="A48" s="2">
        <v>44501</v>
      </c>
      <c r="B48">
        <v>754270</v>
      </c>
      <c r="C48">
        <v>13486290.880000001</v>
      </c>
      <c r="D48" s="12">
        <f t="shared" si="0"/>
        <v>17.87992480146367</v>
      </c>
      <c r="E48" s="12">
        <f t="shared" si="2"/>
        <v>16.738648904019218</v>
      </c>
      <c r="F48" s="12">
        <f t="shared" si="3"/>
        <v>16.672622572484435</v>
      </c>
      <c r="G48" s="12">
        <f t="shared" si="4"/>
        <v>1.2073022289792341</v>
      </c>
      <c r="H48" s="12">
        <f t="shared" si="7"/>
        <v>0.45524261959319773</v>
      </c>
      <c r="I48" s="12">
        <f t="shared" si="5"/>
        <v>0.75205960938603633</v>
      </c>
    </row>
    <row r="49" spans="1:9" x14ac:dyDescent="0.3">
      <c r="A49" s="2">
        <v>44531</v>
      </c>
      <c r="B49">
        <v>759005</v>
      </c>
      <c r="C49">
        <v>11720832.580000002</v>
      </c>
      <c r="D49" s="12">
        <f t="shared" si="0"/>
        <v>15.442365438962856</v>
      </c>
      <c r="E49" s="12">
        <f t="shared" si="2"/>
        <v>16.606596240949649</v>
      </c>
      <c r="F49" s="12">
        <f t="shared" si="3"/>
        <v>16.557368192342068</v>
      </c>
      <c r="G49" s="12">
        <f t="shared" si="4"/>
        <v>-1.115002753379212</v>
      </c>
      <c r="H49" s="12">
        <f t="shared" si="7"/>
        <v>-1.1071080411910701</v>
      </c>
      <c r="I49" s="12">
        <f t="shared" si="5"/>
        <v>-7.8947121881418614E-3</v>
      </c>
    </row>
    <row r="50" spans="1:9" x14ac:dyDescent="0.3">
      <c r="A50" s="2">
        <v>44562</v>
      </c>
      <c r="B50">
        <v>760906</v>
      </c>
      <c r="C50">
        <v>11175892.979999986</v>
      </c>
      <c r="D50" s="12">
        <f t="shared" si="0"/>
        <v>14.687613161152607</v>
      </c>
      <c r="E50" s="12">
        <f t="shared" si="2"/>
        <v>16.50814014373449</v>
      </c>
      <c r="F50" s="12">
        <f t="shared" si="3"/>
        <v>16.378245788431123</v>
      </c>
      <c r="G50" s="12">
        <f t="shared" si="4"/>
        <v>-1.6906326272785162</v>
      </c>
      <c r="H50" s="12">
        <f t="shared" si="7"/>
        <v>-2.3065641588890928</v>
      </c>
      <c r="I50" s="12">
        <f t="shared" si="5"/>
        <v>0.61593153161057668</v>
      </c>
    </row>
    <row r="51" spans="1:9" x14ac:dyDescent="0.3">
      <c r="A51" s="2">
        <v>44593</v>
      </c>
      <c r="B51">
        <v>774433</v>
      </c>
      <c r="C51">
        <v>10147214.809999995</v>
      </c>
      <c r="D51" s="12">
        <f t="shared" si="0"/>
        <v>13.102766553078181</v>
      </c>
      <c r="E51" s="12">
        <f t="shared" si="2"/>
        <v>16.248351433127752</v>
      </c>
      <c r="F51" s="12">
        <f t="shared" si="3"/>
        <v>16.306549861518278</v>
      </c>
      <c r="G51" s="12">
        <f t="shared" si="4"/>
        <v>-3.2037833084400962</v>
      </c>
      <c r="H51" s="12">
        <f t="shared" si="7"/>
        <v>-3.6166552093457391</v>
      </c>
      <c r="I51" s="12">
        <f t="shared" si="5"/>
        <v>0.41287190090564296</v>
      </c>
    </row>
    <row r="52" spans="1:9" x14ac:dyDescent="0.3">
      <c r="A52" s="2">
        <v>44621</v>
      </c>
      <c r="B52">
        <v>824899</v>
      </c>
      <c r="C52">
        <v>9874317.0999999996</v>
      </c>
      <c r="D52" s="12">
        <f t="shared" si="0"/>
        <v>11.970334671274907</v>
      </c>
      <c r="E52" s="12">
        <f t="shared" si="2"/>
        <v>16.364748289908807</v>
      </c>
      <c r="F52" s="12">
        <f t="shared" si="3"/>
        <v>16.435871442908937</v>
      </c>
      <c r="G52" s="12">
        <f t="shared" si="4"/>
        <v>-4.4655367716340297</v>
      </c>
      <c r="H52" s="12">
        <f t="shared" si="7"/>
        <v>-2.8848613933849006</v>
      </c>
      <c r="I52" s="12">
        <f t="shared" si="5"/>
        <v>-1.5806753782491292</v>
      </c>
    </row>
    <row r="53" spans="1:9" x14ac:dyDescent="0.3">
      <c r="A53" s="2">
        <v>44652</v>
      </c>
      <c r="B53">
        <v>792299</v>
      </c>
      <c r="C53">
        <v>11093517.710000008</v>
      </c>
      <c r="D53" s="12">
        <f t="shared" si="0"/>
        <v>14.001680817469174</v>
      </c>
      <c r="E53" s="12">
        <f t="shared" si="2"/>
        <v>16.506994595909067</v>
      </c>
      <c r="F53" s="12">
        <f t="shared" si="3"/>
        <v>16.452924157285061</v>
      </c>
      <c r="G53" s="12">
        <f t="shared" si="4"/>
        <v>-2.4512433398158873</v>
      </c>
      <c r="H53" s="12">
        <f t="shared" si="7"/>
        <v>-1.4396581674980171</v>
      </c>
      <c r="I53" s="12">
        <f t="shared" si="5"/>
        <v>-1.0115851723178702</v>
      </c>
    </row>
    <row r="54" spans="1:9" x14ac:dyDescent="0.3">
      <c r="A54" s="2">
        <v>44682</v>
      </c>
      <c r="B54">
        <v>800486</v>
      </c>
      <c r="C54">
        <v>13027386.189999998</v>
      </c>
      <c r="D54" s="12">
        <f t="shared" si="0"/>
        <v>16.2743460722611</v>
      </c>
      <c r="E54" s="12">
        <f t="shared" si="2"/>
        <v>16.398853718661055</v>
      </c>
      <c r="F54" s="12">
        <f t="shared" si="3"/>
        <v>16.388145226769794</v>
      </c>
      <c r="G54" s="12">
        <f t="shared" si="4"/>
        <v>-0.11379915450869404</v>
      </c>
      <c r="H54" s="12">
        <f t="shared" si="7"/>
        <v>-0.84246478347298803</v>
      </c>
      <c r="I54" s="12">
        <f t="shared" si="5"/>
        <v>0.72866562896429399</v>
      </c>
    </row>
    <row r="55" spans="1:9" x14ac:dyDescent="0.3">
      <c r="A55" s="2">
        <v>44713</v>
      </c>
      <c r="B55">
        <v>803147</v>
      </c>
      <c r="C55">
        <v>15110406.249999996</v>
      </c>
      <c r="D55" s="12">
        <f t="shared" si="0"/>
        <v>18.813998246896269</v>
      </c>
      <c r="E55" s="12">
        <f t="shared" si="2"/>
        <v>16.377436734878533</v>
      </c>
      <c r="F55" s="12">
        <f t="shared" si="3"/>
        <v>16.333922692581361</v>
      </c>
      <c r="G55" s="12">
        <f t="shared" si="4"/>
        <v>2.480075554314908</v>
      </c>
      <c r="H55" s="12">
        <f t="shared" si="7"/>
        <v>2.2949891979365531</v>
      </c>
      <c r="I55" s="12">
        <f t="shared" si="5"/>
        <v>0.18508635637835491</v>
      </c>
    </row>
    <row r="56" spans="1:9" x14ac:dyDescent="0.3">
      <c r="A56" s="2">
        <v>44743</v>
      </c>
      <c r="B56">
        <v>813868</v>
      </c>
      <c r="C56">
        <v>15079339.329999994</v>
      </c>
      <c r="D56" s="12">
        <f t="shared" si="0"/>
        <v>18.527991431042864</v>
      </c>
      <c r="E56" s="12">
        <f t="shared" si="2"/>
        <v>16.290408650284188</v>
      </c>
      <c r="F56" s="12">
        <f t="shared" si="3"/>
        <v>16.282068204243135</v>
      </c>
      <c r="G56" s="12">
        <f t="shared" si="4"/>
        <v>2.2459232267997287</v>
      </c>
      <c r="H56" s="12">
        <f t="shared" si="7"/>
        <v>2.619262269200803</v>
      </c>
      <c r="I56" s="12">
        <f t="shared" si="5"/>
        <v>-0.37333904240107429</v>
      </c>
    </row>
    <row r="57" spans="1:9" x14ac:dyDescent="0.3">
      <c r="A57" s="2">
        <v>44774</v>
      </c>
      <c r="B57">
        <v>815226</v>
      </c>
      <c r="C57">
        <v>14553768.43</v>
      </c>
      <c r="D57" s="12">
        <f t="shared" si="0"/>
        <v>17.85243408576272</v>
      </c>
      <c r="E57" s="12">
        <f t="shared" si="2"/>
        <v>16.273727758202082</v>
      </c>
      <c r="F57" s="12">
        <f t="shared" si="3"/>
        <v>16.291492286648012</v>
      </c>
      <c r="G57" s="12">
        <f t="shared" si="4"/>
        <v>1.5609417991147083</v>
      </c>
      <c r="H57" s="12">
        <f t="shared" si="7"/>
        <v>2.678911692076329</v>
      </c>
      <c r="I57" s="12">
        <f t="shared" si="5"/>
        <v>-1.1179698929616206</v>
      </c>
    </row>
    <row r="58" spans="1:9" x14ac:dyDescent="0.3">
      <c r="A58" s="2">
        <v>44805</v>
      </c>
      <c r="B58">
        <v>827008</v>
      </c>
      <c r="C58">
        <v>16860799.819999993</v>
      </c>
      <c r="D58" s="12">
        <f t="shared" si="0"/>
        <v>20.387710663016552</v>
      </c>
      <c r="E58" s="12">
        <f t="shared" si="2"/>
        <v>16.309256815093942</v>
      </c>
      <c r="F58" s="12">
        <f t="shared" si="3"/>
        <v>16.280402141534474</v>
      </c>
      <c r="G58" s="12">
        <f t="shared" si="4"/>
        <v>4.1073085214820786</v>
      </c>
      <c r="H58" s="12">
        <f t="shared" si="7"/>
        <v>3.2343696104512185</v>
      </c>
      <c r="I58" s="12">
        <f t="shared" si="5"/>
        <v>0.87293891103086008</v>
      </c>
    </row>
    <row r="59" spans="1:9" x14ac:dyDescent="0.3">
      <c r="A59" s="2">
        <v>44835</v>
      </c>
      <c r="B59">
        <v>836972</v>
      </c>
      <c r="C59">
        <v>16021961.829999991</v>
      </c>
      <c r="D59" s="12">
        <f t="shared" si="0"/>
        <v>19.142769208527874</v>
      </c>
      <c r="E59" s="12">
        <f t="shared" si="2"/>
        <v>16.251547467975005</v>
      </c>
      <c r="F59" s="12">
        <f t="shared" si="3"/>
        <v>16.174516941122469</v>
      </c>
      <c r="G59" s="12">
        <f t="shared" si="4"/>
        <v>2.9682522674054042</v>
      </c>
      <c r="H59" s="12">
        <f t="shared" si="7"/>
        <v>0.91453636452370379</v>
      </c>
      <c r="I59" s="12">
        <f t="shared" si="5"/>
        <v>2.0537159028817005</v>
      </c>
    </row>
    <row r="60" spans="1:9" x14ac:dyDescent="0.3">
      <c r="A60" s="2">
        <v>44866</v>
      </c>
      <c r="B60">
        <v>835251</v>
      </c>
      <c r="C60">
        <v>13850327.760000005</v>
      </c>
      <c r="D60" s="12">
        <f t="shared" si="0"/>
        <v>16.582234274487554</v>
      </c>
      <c r="E60" s="12">
        <f t="shared" si="2"/>
        <v>16.097486414269934</v>
      </c>
      <c r="F60" s="12">
        <f t="shared" si="3"/>
        <v>16.021290787605292</v>
      </c>
      <c r="G60" s="12">
        <f t="shared" si="4"/>
        <v>0.56094348688226248</v>
      </c>
      <c r="H60" s="12">
        <f t="shared" si="7"/>
        <v>0.45524261959319773</v>
      </c>
      <c r="I60" s="12">
        <f t="shared" si="5"/>
        <v>0.10570086728906475</v>
      </c>
    </row>
    <row r="61" spans="1:9" x14ac:dyDescent="0.3">
      <c r="A61" s="2">
        <v>44896</v>
      </c>
      <c r="B61">
        <v>839828</v>
      </c>
      <c r="C61">
        <v>12753091.889999997</v>
      </c>
      <c r="D61" s="12">
        <f t="shared" si="0"/>
        <v>15.185361633572585</v>
      </c>
      <c r="E61" s="12">
        <f t="shared" si="2"/>
        <v>15.945095160940648</v>
      </c>
      <c r="F61" s="12">
        <f t="shared" si="3"/>
        <v>15.915029297979526</v>
      </c>
      <c r="G61" s="12">
        <f t="shared" si="4"/>
        <v>-0.72966766440694109</v>
      </c>
      <c r="H61" s="12">
        <f t="shared" si="7"/>
        <v>-1.1071080411910701</v>
      </c>
      <c r="I61" s="12">
        <f t="shared" si="5"/>
        <v>0.37744037678412901</v>
      </c>
    </row>
    <row r="62" spans="1:9" x14ac:dyDescent="0.3">
      <c r="A62" s="2">
        <v>44927</v>
      </c>
      <c r="B62">
        <v>842786</v>
      </c>
      <c r="C62">
        <v>11498362.130000003</v>
      </c>
      <c r="D62" s="12">
        <f t="shared" si="0"/>
        <v>13.643276146020463</v>
      </c>
      <c r="E62" s="12">
        <f t="shared" si="2"/>
        <v>15.884963435018404</v>
      </c>
      <c r="F62" s="12">
        <f t="shared" si="3"/>
        <v>15.83385476440265</v>
      </c>
      <c r="G62" s="12">
        <f t="shared" si="4"/>
        <v>-2.1905786183821867</v>
      </c>
      <c r="H62" s="12">
        <f t="shared" si="7"/>
        <v>-2.3065641588890928</v>
      </c>
      <c r="I62" s="12">
        <f t="shared" si="5"/>
        <v>0.11598554050690613</v>
      </c>
    </row>
    <row r="63" spans="1:9" x14ac:dyDescent="0.3">
      <c r="A63" s="2">
        <v>44958</v>
      </c>
      <c r="B63">
        <v>849730</v>
      </c>
      <c r="C63">
        <v>10963722.77</v>
      </c>
      <c r="D63" s="12">
        <f t="shared" si="0"/>
        <v>12.902595848092924</v>
      </c>
      <c r="E63" s="12">
        <f t="shared" si="2"/>
        <v>15.782746093786896</v>
      </c>
      <c r="F63" s="12">
        <f t="shared" si="3"/>
        <v>15.633923351067935</v>
      </c>
      <c r="G63" s="12">
        <f t="shared" si="4"/>
        <v>-2.7313275029750113</v>
      </c>
      <c r="H63" s="12">
        <f t="shared" si="7"/>
        <v>-3.6166552093457391</v>
      </c>
      <c r="I63" s="12">
        <f t="shared" si="5"/>
        <v>0.88532770637072788</v>
      </c>
    </row>
    <row r="64" spans="1:9" x14ac:dyDescent="0.3">
      <c r="A64" s="2">
        <v>44986</v>
      </c>
      <c r="B64">
        <v>871121</v>
      </c>
      <c r="C64">
        <v>10799011.199999999</v>
      </c>
      <c r="D64" s="12">
        <f t="shared" si="0"/>
        <v>12.396683353977231</v>
      </c>
      <c r="E64" s="12">
        <f t="shared" si="2"/>
        <v>15.485100608348972</v>
      </c>
      <c r="F64" s="12">
        <f t="shared" si="3"/>
        <v>15.268929970375389</v>
      </c>
      <c r="G64" s="12">
        <f t="shared" si="4"/>
        <v>-2.8722466163981579</v>
      </c>
      <c r="H64" s="12">
        <f t="shared" si="7"/>
        <v>-2.8848613933849006</v>
      </c>
      <c r="I64" s="12">
        <f t="shared" si="5"/>
        <v>1.2614776986742626E-2</v>
      </c>
    </row>
    <row r="65" spans="1:9" x14ac:dyDescent="0.3">
      <c r="A65" s="2">
        <v>45017</v>
      </c>
      <c r="B65">
        <v>872631</v>
      </c>
      <c r="C65">
        <v>11613993.149999995</v>
      </c>
      <c r="D65" s="12">
        <f t="shared" si="0"/>
        <v>13.309168652041922</v>
      </c>
      <c r="E65" s="12">
        <f t="shared" si="2"/>
        <v>15.052759332401804</v>
      </c>
      <c r="F65" s="12">
        <f t="shared" si="3"/>
        <v>14.943931834755464</v>
      </c>
      <c r="G65" s="12">
        <f t="shared" si="4"/>
        <v>-1.6347631827135416</v>
      </c>
      <c r="H65" s="12">
        <f t="shared" si="7"/>
        <v>-1.4396581674980171</v>
      </c>
      <c r="I65" s="12">
        <f t="shared" si="5"/>
        <v>-0.19510501521552448</v>
      </c>
    </row>
    <row r="66" spans="1:9" x14ac:dyDescent="0.3">
      <c r="A66" s="2">
        <v>45047</v>
      </c>
      <c r="B66">
        <v>889200</v>
      </c>
      <c r="C66">
        <v>12827255.460000003</v>
      </c>
      <c r="D66" s="12">
        <f t="shared" si="0"/>
        <v>14.425613427800274</v>
      </c>
      <c r="E66" s="12">
        <f t="shared" si="2"/>
        <v>14.835104337109122</v>
      </c>
      <c r="F66" s="12">
        <f t="shared" si="3"/>
        <v>14.640092885432004</v>
      </c>
      <c r="G66" s="12">
        <f t="shared" si="4"/>
        <v>-0.2144794576317306</v>
      </c>
      <c r="H66" s="12">
        <f t="shared" si="7"/>
        <v>-0.84246478347298803</v>
      </c>
      <c r="I66" s="12">
        <f t="shared" si="5"/>
        <v>0.62798532584125744</v>
      </c>
    </row>
    <row r="67" spans="1:9" x14ac:dyDescent="0.3">
      <c r="A67" s="2">
        <v>45078</v>
      </c>
      <c r="B67">
        <v>892064</v>
      </c>
      <c r="C67">
        <v>15151977.519999998</v>
      </c>
      <c r="D67" s="12">
        <f t="shared" si="0"/>
        <v>16.985303206944792</v>
      </c>
      <c r="E67" s="12">
        <f t="shared" si="2"/>
        <v>14.445081433754888</v>
      </c>
      <c r="F67" s="12">
        <f t="shared" si="3"/>
        <v>14.313801563523946</v>
      </c>
      <c r="G67" s="12">
        <f t="shared" si="4"/>
        <v>2.6715016434208465</v>
      </c>
      <c r="H67" s="12">
        <f t="shared" si="7"/>
        <v>2.2949891979365531</v>
      </c>
      <c r="I67" s="12">
        <f t="shared" si="5"/>
        <v>0.37651244548429341</v>
      </c>
    </row>
    <row r="68" spans="1:9" x14ac:dyDescent="0.3">
      <c r="A68" s="2">
        <v>45108</v>
      </c>
      <c r="B68">
        <v>903808</v>
      </c>
      <c r="C68">
        <v>16093576.459999997</v>
      </c>
      <c r="D68" s="12">
        <f t="shared" si="0"/>
        <v>17.806410719975922</v>
      </c>
      <c r="E68" s="12">
        <f t="shared" si="2"/>
        <v>14.182521693293005</v>
      </c>
      <c r="F68" s="12">
        <f t="shared" si="3"/>
        <v>14.102457409287364</v>
      </c>
      <c r="G68" s="12">
        <f t="shared" si="4"/>
        <v>3.7039533106885578</v>
      </c>
      <c r="H68" s="12">
        <f t="shared" si="7"/>
        <v>2.619262269200803</v>
      </c>
      <c r="I68" s="12">
        <f t="shared" si="5"/>
        <v>1.0846910414877549</v>
      </c>
    </row>
    <row r="69" spans="1:9" x14ac:dyDescent="0.3">
      <c r="A69" s="2">
        <v>45139</v>
      </c>
      <c r="B69">
        <v>914217</v>
      </c>
      <c r="C69">
        <v>15199612.759999998</v>
      </c>
      <c r="D69" s="12">
        <f t="shared" si="0"/>
        <v>16.625825990984634</v>
      </c>
      <c r="E69" s="12">
        <f t="shared" si="2"/>
        <v>14.022393125281722</v>
      </c>
      <c r="F69" s="12">
        <f t="shared" si="3"/>
        <v>13.93426804724591</v>
      </c>
      <c r="G69" s="12">
        <f t="shared" si="4"/>
        <v>2.691557943738724</v>
      </c>
      <c r="H69" s="12">
        <f t="shared" si="7"/>
        <v>2.678911692076329</v>
      </c>
      <c r="I69" s="12">
        <f t="shared" si="5"/>
        <v>1.264625166239508E-2</v>
      </c>
    </row>
    <row r="70" spans="1:9" x14ac:dyDescent="0.3">
      <c r="A70" s="2">
        <v>45170</v>
      </c>
      <c r="B70">
        <v>915812</v>
      </c>
      <c r="C70">
        <v>15400262.390000002</v>
      </c>
      <c r="D70" s="12">
        <f t="shared" si="0"/>
        <v>16.815964837761463</v>
      </c>
      <c r="E70" s="12">
        <f t="shared" si="2"/>
        <v>13.846142969210097</v>
      </c>
      <c r="F70" s="12">
        <f t="shared" si="3"/>
        <v>13.765633837402461</v>
      </c>
      <c r="G70" s="12">
        <f t="shared" si="4"/>
        <v>3.0503310003590016</v>
      </c>
      <c r="H70" s="12">
        <f t="shared" si="7"/>
        <v>3.2343696104512185</v>
      </c>
      <c r="I70" s="12">
        <f t="shared" si="5"/>
        <v>-0.18403861009221689</v>
      </c>
    </row>
    <row r="71" spans="1:9" x14ac:dyDescent="0.3">
      <c r="A71" s="2">
        <v>45200</v>
      </c>
      <c r="B71">
        <v>923957</v>
      </c>
      <c r="C71">
        <v>12893518.629999995</v>
      </c>
      <c r="D71" s="12">
        <f t="shared" si="0"/>
        <v>13.954673897161875</v>
      </c>
      <c r="E71" s="12">
        <f t="shared" si="2"/>
        <v>13.685124705594825</v>
      </c>
      <c r="F71" s="12">
        <f t="shared" si="3"/>
        <v>13.625280334067719</v>
      </c>
      <c r="G71" s="12">
        <f t="shared" si="4"/>
        <v>0.32939356309415579</v>
      </c>
      <c r="H71" s="12">
        <f t="shared" si="7"/>
        <v>0.91453636452370379</v>
      </c>
      <c r="I71" s="12">
        <f t="shared" si="5"/>
        <v>-0.585142801429548</v>
      </c>
    </row>
    <row r="72" spans="1:9" x14ac:dyDescent="0.3">
      <c r="A72" s="2">
        <v>45231</v>
      </c>
      <c r="B72">
        <v>929338</v>
      </c>
      <c r="C72">
        <v>12983199.739999995</v>
      </c>
      <c r="D72" s="12">
        <f t="shared" ref="D72:D84" si="8">+C72/B72</f>
        <v>13.970374330975377</v>
      </c>
      <c r="E72" s="12">
        <f t="shared" si="2"/>
        <v>13.565435962540613</v>
      </c>
      <c r="F72" s="12">
        <f t="shared" si="3"/>
        <v>13.479957092894436</v>
      </c>
      <c r="G72" s="12">
        <f t="shared" si="4"/>
        <v>0.49041723808094062</v>
      </c>
      <c r="H72" s="12">
        <f t="shared" si="7"/>
        <v>0.45524261959319773</v>
      </c>
      <c r="I72" s="12">
        <f t="shared" si="5"/>
        <v>3.5174618487742892E-2</v>
      </c>
    </row>
    <row r="73" spans="1:9" x14ac:dyDescent="0.3">
      <c r="A73" s="2">
        <v>45261</v>
      </c>
      <c r="B73">
        <v>938033</v>
      </c>
      <c r="C73">
        <v>9854118.0800000094</v>
      </c>
      <c r="D73" s="12">
        <f t="shared" si="8"/>
        <v>10.50508679332178</v>
      </c>
      <c r="E73" s="12">
        <f t="shared" si="2"/>
        <v>13.394478223248258</v>
      </c>
      <c r="F73" s="12">
        <f t="shared" si="3"/>
        <v>13.159285061624118</v>
      </c>
      <c r="G73" s="12">
        <f t="shared" si="4"/>
        <v>-2.6541982683023377</v>
      </c>
      <c r="H73" s="12">
        <f t="shared" si="7"/>
        <v>-1.1071080411910701</v>
      </c>
      <c r="I73" s="12">
        <f t="shared" si="5"/>
        <v>-1.5470902271112676</v>
      </c>
    </row>
    <row r="74" spans="1:9" x14ac:dyDescent="0.3">
      <c r="A74" s="2">
        <v>45292</v>
      </c>
      <c r="B74">
        <v>954346</v>
      </c>
      <c r="C74">
        <v>10013531.960000003</v>
      </c>
      <c r="D74" s="12">
        <f t="shared" si="8"/>
        <v>10.49255926047786</v>
      </c>
      <c r="E74" s="12">
        <f t="shared" si="2"/>
        <v>12.924091899999979</v>
      </c>
      <c r="F74" s="12">
        <f t="shared" si="3"/>
        <v>12.9250351909951</v>
      </c>
      <c r="G74" s="12">
        <f t="shared" si="4"/>
        <v>-2.4324759305172403</v>
      </c>
      <c r="H74" s="12">
        <f t="shared" si="7"/>
        <v>-2.3065641588890928</v>
      </c>
      <c r="I74" s="12">
        <f t="shared" si="5"/>
        <v>-0.12591177162814748</v>
      </c>
    </row>
    <row r="75" spans="1:9" x14ac:dyDescent="0.3">
      <c r="A75" s="2">
        <v>45323</v>
      </c>
      <c r="B75">
        <v>956989</v>
      </c>
      <c r="C75">
        <v>10508746.959999997</v>
      </c>
      <c r="D75" s="12">
        <f t="shared" si="8"/>
        <v>10.981053031957522</v>
      </c>
      <c r="E75" s="12">
        <f t="shared" si="2"/>
        <v>12.925978481990221</v>
      </c>
      <c r="F75" s="12">
        <f t="shared" si="3"/>
        <v>12.901141562653898</v>
      </c>
      <c r="G75" s="12">
        <f t="shared" si="4"/>
        <v>-1.9200885306963755</v>
      </c>
      <c r="H75" s="12">
        <f t="shared" si="7"/>
        <v>-3.6166552093457391</v>
      </c>
      <c r="I75" s="12">
        <f t="shared" si="5"/>
        <v>1.6965666786493636</v>
      </c>
    </row>
    <row r="76" spans="1:9" x14ac:dyDescent="0.3">
      <c r="A76" s="2">
        <v>45352</v>
      </c>
      <c r="B76">
        <v>957061</v>
      </c>
      <c r="C76">
        <v>9840196.3599999994</v>
      </c>
      <c r="D76" s="12">
        <f t="shared" si="8"/>
        <v>10.281681481117714</v>
      </c>
      <c r="E76" s="12">
        <f t="shared" si="2"/>
        <v>12.876304643317576</v>
      </c>
      <c r="F76" s="12">
        <f t="shared" si="3"/>
        <v>12.867467888602029</v>
      </c>
      <c r="G76" s="12">
        <f t="shared" si="4"/>
        <v>-2.5857864074843153</v>
      </c>
      <c r="H76" s="12">
        <f t="shared" si="7"/>
        <v>-2.8848613933849006</v>
      </c>
      <c r="I76" s="12">
        <f t="shared" si="5"/>
        <v>0.29907498590058523</v>
      </c>
    </row>
    <row r="77" spans="1:9" x14ac:dyDescent="0.3">
      <c r="A77" s="2">
        <v>45383</v>
      </c>
      <c r="B77">
        <v>976256</v>
      </c>
      <c r="C77">
        <v>11106815.199999999</v>
      </c>
      <c r="D77" s="12">
        <f t="shared" si="8"/>
        <v>11.376949488658711</v>
      </c>
      <c r="E77" s="12">
        <f>AVERAGE(D72:D83)</f>
        <v>12.858631133886483</v>
      </c>
      <c r="F77" s="12">
        <f>AVERAGE(E77:E78)</f>
        <v>12.851615175046256</v>
      </c>
      <c r="G77" s="12">
        <f t="shared" si="4"/>
        <v>-1.474665686387544</v>
      </c>
      <c r="H77" s="12">
        <f t="shared" si="7"/>
        <v>-1.4396581674980171</v>
      </c>
      <c r="I77" s="12">
        <f t="shared" si="5"/>
        <v>-3.5007518889526912E-2</v>
      </c>
    </row>
    <row r="78" spans="1:9" x14ac:dyDescent="0.3">
      <c r="A78" s="2">
        <v>45413</v>
      </c>
      <c r="B78">
        <v>973570</v>
      </c>
      <c r="C78">
        <v>12646040.030000007</v>
      </c>
      <c r="D78" s="12">
        <f t="shared" si="8"/>
        <v>12.989348511149693</v>
      </c>
      <c r="E78" s="12">
        <f>AVERAGE(D73:D84)</f>
        <v>12.84459921620603</v>
      </c>
      <c r="F78" s="12"/>
      <c r="G78" s="12"/>
      <c r="H78" s="12">
        <f t="shared" si="7"/>
        <v>-0.84246478347298803</v>
      </c>
      <c r="I78" s="12">
        <f>+D78-F78-H78</f>
        <v>13.83181329462268</v>
      </c>
    </row>
    <row r="79" spans="1:9" x14ac:dyDescent="0.3">
      <c r="A79" s="2">
        <v>45444</v>
      </c>
      <c r="B79">
        <v>980394</v>
      </c>
      <c r="C79">
        <v>14641018.050000001</v>
      </c>
      <c r="D79" s="12">
        <f t="shared" si="8"/>
        <v>14.93381033543657</v>
      </c>
      <c r="E79" s="12"/>
      <c r="F79" s="12"/>
      <c r="G79" s="12"/>
      <c r="H79" s="12">
        <f t="shared" si="7"/>
        <v>2.2949891979365531</v>
      </c>
      <c r="I79" s="12">
        <f>+D79-F79-H79</f>
        <v>12.638821137500017</v>
      </c>
    </row>
    <row r="80" spans="1:9" x14ac:dyDescent="0.3">
      <c r="A80" s="2">
        <v>45474</v>
      </c>
      <c r="B80">
        <v>1282205</v>
      </c>
      <c r="C80">
        <v>15593888.509999996</v>
      </c>
      <c r="D80" s="12">
        <f t="shared" si="8"/>
        <v>12.161774840996561</v>
      </c>
      <c r="E80" s="12"/>
      <c r="F80" s="12"/>
      <c r="G80" s="12"/>
      <c r="H80" s="12">
        <f t="shared" si="7"/>
        <v>2.619262269200803</v>
      </c>
      <c r="I80" s="12"/>
    </row>
    <row r="81" spans="1:9" x14ac:dyDescent="0.3">
      <c r="A81" s="2">
        <v>45505</v>
      </c>
      <c r="B81">
        <v>997912</v>
      </c>
      <c r="C81">
        <v>16613702.979999995</v>
      </c>
      <c r="D81" s="12">
        <f t="shared" si="8"/>
        <v>16.648464974867519</v>
      </c>
      <c r="E81" s="12"/>
      <c r="F81" s="12"/>
      <c r="G81" s="12"/>
      <c r="H81" s="12">
        <f t="shared" si="7"/>
        <v>2.678911692076329</v>
      </c>
      <c r="I81" s="12"/>
    </row>
    <row r="82" spans="1:9" x14ac:dyDescent="0.3">
      <c r="A82" s="2">
        <v>45536</v>
      </c>
      <c r="B82">
        <v>1008032</v>
      </c>
      <c r="C82">
        <v>16350156.840000011</v>
      </c>
      <c r="D82" s="12">
        <f t="shared" si="8"/>
        <v>16.219878773689736</v>
      </c>
      <c r="E82" s="12"/>
      <c r="F82" s="12"/>
      <c r="G82" s="12"/>
      <c r="H82" s="12">
        <f t="shared" si="7"/>
        <v>3.2343696104512185</v>
      </c>
      <c r="I82" s="12"/>
    </row>
    <row r="83" spans="1:9" x14ac:dyDescent="0.3">
      <c r="A83" s="2">
        <v>45566</v>
      </c>
      <c r="B83">
        <v>1019132</v>
      </c>
      <c r="C83">
        <v>14005515.050000006</v>
      </c>
      <c r="D83" s="12">
        <f t="shared" si="8"/>
        <v>13.742591783988734</v>
      </c>
      <c r="E83" s="12"/>
      <c r="F83" s="12"/>
      <c r="G83" s="12"/>
      <c r="H83" s="12">
        <f t="shared" si="7"/>
        <v>0.91453636452370379</v>
      </c>
      <c r="I83" s="12"/>
    </row>
    <row r="84" spans="1:9" x14ac:dyDescent="0.3">
      <c r="A84" s="2">
        <v>45597</v>
      </c>
      <c r="B84">
        <v>1023362</v>
      </c>
      <c r="C84">
        <v>14124433.440000001</v>
      </c>
      <c r="D84" s="12">
        <f t="shared" si="8"/>
        <v>13.801991318809963</v>
      </c>
      <c r="E84" s="12"/>
      <c r="F84" s="12"/>
      <c r="G84" s="12"/>
      <c r="H84" s="12">
        <f t="shared" si="7"/>
        <v>0.45524261959319773</v>
      </c>
      <c r="I84" s="12"/>
    </row>
    <row r="91" spans="1:9" x14ac:dyDescent="0.3">
      <c r="A91" s="2"/>
    </row>
    <row r="92" spans="1:9" x14ac:dyDescent="0.3">
      <c r="A92" s="2"/>
    </row>
    <row r="93" spans="1:9" x14ac:dyDescent="0.3">
      <c r="A93" s="2"/>
    </row>
    <row r="94" spans="1:9" x14ac:dyDescent="0.3">
      <c r="A94" s="2"/>
    </row>
    <row r="95" spans="1:9" x14ac:dyDescent="0.3">
      <c r="A95" s="2"/>
    </row>
    <row r="96" spans="1:9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A6BA-9EA1-43FA-A846-21537342AE7B}">
  <dimension ref="A1:I168"/>
  <sheetViews>
    <sheetView topLeftCell="E1" workbookViewId="0">
      <selection activeCell="S12" sqref="S12"/>
    </sheetView>
  </sheetViews>
  <sheetFormatPr defaultRowHeight="14.4" x14ac:dyDescent="0.3"/>
  <cols>
    <col min="1" max="1" width="10.33203125" bestFit="1" customWidth="1"/>
    <col min="4" max="4" width="16" bestFit="1" customWidth="1"/>
    <col min="5" max="5" width="12.77734375" customWidth="1"/>
    <col min="6" max="7" width="13.44140625" customWidth="1"/>
    <col min="8" max="8" width="16" customWidth="1"/>
    <col min="9" max="9" width="10.109375" bestFit="1" customWidth="1"/>
  </cols>
  <sheetData>
    <row r="1" spans="1:9" x14ac:dyDescent="0.3">
      <c r="E1" t="s">
        <v>66</v>
      </c>
    </row>
    <row r="2" spans="1:9" x14ac:dyDescent="0.3">
      <c r="E2" t="s">
        <v>75</v>
      </c>
    </row>
    <row r="3" spans="1:9" x14ac:dyDescent="0.3">
      <c r="E3" t="s">
        <v>76</v>
      </c>
    </row>
    <row r="4" spans="1:9" x14ac:dyDescent="0.3">
      <c r="E4" t="s">
        <v>77</v>
      </c>
    </row>
    <row r="5" spans="1:9" x14ac:dyDescent="0.3">
      <c r="F5" s="13" t="s">
        <v>72</v>
      </c>
      <c r="H5" s="13" t="s">
        <v>69</v>
      </c>
      <c r="I5" s="13" t="s">
        <v>74</v>
      </c>
    </row>
    <row r="6" spans="1:9" x14ac:dyDescent="0.3">
      <c r="A6" t="s">
        <v>11</v>
      </c>
      <c r="B6" t="s">
        <v>33</v>
      </c>
      <c r="C6" t="s">
        <v>49</v>
      </c>
      <c r="D6" t="s">
        <v>64</v>
      </c>
      <c r="E6" t="s">
        <v>65</v>
      </c>
      <c r="F6" t="s">
        <v>71</v>
      </c>
      <c r="G6" t="s">
        <v>78</v>
      </c>
      <c r="H6" t="s">
        <v>69</v>
      </c>
      <c r="I6" t="s">
        <v>70</v>
      </c>
    </row>
    <row r="7" spans="1:9" x14ac:dyDescent="0.3">
      <c r="A7" s="2">
        <v>43252</v>
      </c>
      <c r="B7">
        <v>593175</v>
      </c>
      <c r="C7">
        <v>12389809.890000001</v>
      </c>
      <c r="D7" s="12">
        <f>+C7/B7</f>
        <v>20.887275913516248</v>
      </c>
      <c r="H7" s="12">
        <f>AVERAGE(G7,G19,G31,G43,G55,G67,G79)</f>
        <v>1.1462167883928873</v>
      </c>
    </row>
    <row r="8" spans="1:9" x14ac:dyDescent="0.3">
      <c r="A8" s="2">
        <v>43282</v>
      </c>
      <c r="B8">
        <v>598866</v>
      </c>
      <c r="C8">
        <v>11966696.24</v>
      </c>
      <c r="D8" s="12">
        <f t="shared" ref="D8:D71" si="0">+C8/B8</f>
        <v>19.982260205121012</v>
      </c>
      <c r="H8" s="12">
        <f t="shared" ref="H8:H17" si="1">AVERAGE(G8,G20,G32,G44,G56,G68,G80)</f>
        <v>1.1683140388206321</v>
      </c>
    </row>
    <row r="9" spans="1:9" x14ac:dyDescent="0.3">
      <c r="A9" s="2">
        <v>43313</v>
      </c>
      <c r="B9">
        <v>599669</v>
      </c>
      <c r="C9">
        <v>12583762.490000006</v>
      </c>
      <c r="D9" s="12">
        <f t="shared" si="0"/>
        <v>20.984513940190347</v>
      </c>
      <c r="H9" s="12">
        <f t="shared" si="1"/>
        <v>1.1695356378568018</v>
      </c>
    </row>
    <row r="10" spans="1:9" x14ac:dyDescent="0.3">
      <c r="A10" s="2">
        <v>43344</v>
      </c>
      <c r="B10">
        <v>639991</v>
      </c>
      <c r="C10">
        <v>13204783.679999996</v>
      </c>
      <c r="D10" s="12">
        <f t="shared" si="0"/>
        <v>20.632764648252859</v>
      </c>
      <c r="H10" s="12">
        <f t="shared" si="1"/>
        <v>1.2055054595143146</v>
      </c>
    </row>
    <row r="11" spans="1:9" x14ac:dyDescent="0.3">
      <c r="A11" s="2">
        <v>43374</v>
      </c>
      <c r="B11">
        <v>611396</v>
      </c>
      <c r="C11">
        <v>11707935.160000002</v>
      </c>
      <c r="D11" s="12">
        <f t="shared" si="0"/>
        <v>19.149512198313371</v>
      </c>
      <c r="H11" s="12">
        <f t="shared" si="1"/>
        <v>1.0604638479562167</v>
      </c>
    </row>
    <row r="12" spans="1:9" x14ac:dyDescent="0.3">
      <c r="A12" s="2">
        <v>43405</v>
      </c>
      <c r="B12">
        <v>616497</v>
      </c>
      <c r="C12">
        <v>11260542.779999997</v>
      </c>
      <c r="D12" s="12">
        <f t="shared" si="0"/>
        <v>18.265365086934725</v>
      </c>
      <c r="E12" s="12">
        <f>AVERAGE(D7:D18)</f>
        <v>17.330899496830572</v>
      </c>
      <c r="F12" s="12">
        <f>AVERAGE(E12:E13)</f>
        <v>17.20784525165633</v>
      </c>
      <c r="G12" s="12">
        <f>+D12/F12</f>
        <v>1.0614556802326314</v>
      </c>
      <c r="H12" s="12">
        <f t="shared" si="1"/>
        <v>1.0331246023300995</v>
      </c>
      <c r="I12" s="12">
        <f>+D12/(F12*H12)</f>
        <v>1.0274227114896248</v>
      </c>
    </row>
    <row r="13" spans="1:9" x14ac:dyDescent="0.3">
      <c r="A13" s="2">
        <v>43435</v>
      </c>
      <c r="B13">
        <v>606837</v>
      </c>
      <c r="C13">
        <v>10148304.540000003</v>
      </c>
      <c r="D13" s="12">
        <f t="shared" si="0"/>
        <v>16.723279134265056</v>
      </c>
      <c r="E13" s="12">
        <f t="shared" ref="E13:E76" si="2">AVERAGE(D8:D19)</f>
        <v>17.084791006482092</v>
      </c>
      <c r="F13" s="12">
        <f t="shared" ref="F13:F76" si="3">AVERAGE(E13:E14)</f>
        <v>17.069852911456792</v>
      </c>
      <c r="G13" s="12">
        <f t="shared" ref="G13:G76" si="4">+D13/F13</f>
        <v>0.97969673324137863</v>
      </c>
      <c r="H13" s="12">
        <f t="shared" si="1"/>
        <v>0.93033893538895152</v>
      </c>
      <c r="I13" s="12">
        <f t="shared" ref="I13:I76" si="5">+D13/(F13*H13)</f>
        <v>1.0530535657220366</v>
      </c>
    </row>
    <row r="14" spans="1:9" x14ac:dyDescent="0.3">
      <c r="A14" s="2">
        <v>43466</v>
      </c>
      <c r="B14">
        <v>582435</v>
      </c>
      <c r="C14">
        <v>8437863.2599999979</v>
      </c>
      <c r="D14" s="12">
        <f t="shared" si="0"/>
        <v>14.4872187626087</v>
      </c>
      <c r="E14" s="12">
        <f t="shared" si="2"/>
        <v>17.054914816431495</v>
      </c>
      <c r="F14" s="12">
        <f t="shared" si="3"/>
        <v>17.028898691033735</v>
      </c>
      <c r="G14" s="12">
        <f t="shared" si="4"/>
        <v>0.85074314114257366</v>
      </c>
      <c r="H14" s="12">
        <f t="shared" si="1"/>
        <v>0.85896713306759409</v>
      </c>
      <c r="I14" s="12">
        <f t="shared" si="5"/>
        <v>0.99042571990426398</v>
      </c>
    </row>
    <row r="15" spans="1:9" x14ac:dyDescent="0.3">
      <c r="A15" s="2">
        <v>43497</v>
      </c>
      <c r="B15">
        <v>641584</v>
      </c>
      <c r="C15">
        <v>7818537.4700000025</v>
      </c>
      <c r="D15" s="12">
        <f t="shared" si="0"/>
        <v>12.186303695229311</v>
      </c>
      <c r="E15" s="12">
        <f t="shared" si="2"/>
        <v>17.002882565635975</v>
      </c>
      <c r="F15" s="12">
        <f t="shared" si="3"/>
        <v>17.027861038773914</v>
      </c>
      <c r="G15" s="12">
        <f t="shared" si="4"/>
        <v>0.71566849573648994</v>
      </c>
      <c r="H15" s="12">
        <f t="shared" si="1"/>
        <v>0.78230688527633463</v>
      </c>
      <c r="I15" s="12">
        <f t="shared" si="5"/>
        <v>0.91481809658839186</v>
      </c>
    </row>
    <row r="16" spans="1:9" x14ac:dyDescent="0.3">
      <c r="A16" s="2">
        <v>43525</v>
      </c>
      <c r="B16">
        <v>641980</v>
      </c>
      <c r="C16">
        <v>9274163.7600000072</v>
      </c>
      <c r="D16" s="12">
        <f t="shared" si="0"/>
        <v>14.446187980933997</v>
      </c>
      <c r="E16" s="12">
        <f t="shared" si="2"/>
        <v>17.052839511911852</v>
      </c>
      <c r="F16" s="12">
        <f t="shared" si="3"/>
        <v>17.020965821690602</v>
      </c>
      <c r="G16" s="12">
        <f t="shared" si="4"/>
        <v>0.84872903995404025</v>
      </c>
      <c r="H16" s="12">
        <f t="shared" si="1"/>
        <v>0.82148908149817146</v>
      </c>
      <c r="I16" s="12">
        <f t="shared" si="5"/>
        <v>1.0331592458979377</v>
      </c>
    </row>
    <row r="17" spans="1:9" x14ac:dyDescent="0.3">
      <c r="A17" s="2">
        <v>43556</v>
      </c>
      <c r="B17">
        <v>656726</v>
      </c>
      <c r="C17">
        <v>11384551.870000005</v>
      </c>
      <c r="D17" s="12">
        <f t="shared" si="0"/>
        <v>17.335314682226688</v>
      </c>
      <c r="E17" s="12">
        <f t="shared" si="2"/>
        <v>16.989092131469349</v>
      </c>
      <c r="F17" s="12">
        <f t="shared" si="3"/>
        <v>16.895504702328502</v>
      </c>
      <c r="G17" s="12">
        <f t="shared" si="4"/>
        <v>1.0260311833027145</v>
      </c>
      <c r="H17" s="12">
        <f t="shared" si="1"/>
        <v>0.9117991975846903</v>
      </c>
      <c r="I17" s="12">
        <f t="shared" si="5"/>
        <v>1.1252819546459558</v>
      </c>
    </row>
    <row r="18" spans="1:9" x14ac:dyDescent="0.3">
      <c r="A18" s="2">
        <v>43586</v>
      </c>
      <c r="B18">
        <v>643150</v>
      </c>
      <c r="C18">
        <v>8290716.5500000017</v>
      </c>
      <c r="D18" s="12">
        <f t="shared" si="0"/>
        <v>12.890797714374566</v>
      </c>
      <c r="E18" s="12">
        <f t="shared" si="2"/>
        <v>16.801917273187659</v>
      </c>
      <c r="F18" s="12">
        <f t="shared" si="3"/>
        <v>16.839043267994654</v>
      </c>
      <c r="G18" s="12">
        <f t="shared" si="4"/>
        <v>0.76553029226284053</v>
      </c>
      <c r="H18" s="12">
        <f>AVERAGE(G18,G30,G42,G54,G66,G78,E90)</f>
        <v>0.95362145400871867</v>
      </c>
      <c r="I18" s="12">
        <f t="shared" si="5"/>
        <v>0.80276118898625526</v>
      </c>
    </row>
    <row r="19" spans="1:9" x14ac:dyDescent="0.3">
      <c r="A19" s="2">
        <v>43617</v>
      </c>
      <c r="B19">
        <v>610612</v>
      </c>
      <c r="C19">
        <v>10950699.750000002</v>
      </c>
      <c r="D19" s="12">
        <f t="shared" si="0"/>
        <v>17.933974029334507</v>
      </c>
      <c r="E19" s="12">
        <f t="shared" si="2"/>
        <v>16.87616926280165</v>
      </c>
      <c r="F19" s="12">
        <f t="shared" si="3"/>
        <v>16.915525710050527</v>
      </c>
      <c r="G19" s="12">
        <f t="shared" si="4"/>
        <v>1.0602079022988247</v>
      </c>
      <c r="H19" s="14">
        <f>+H7/AVERAGE($H$7:$H$18)</f>
        <v>1.1422490851356175</v>
      </c>
      <c r="I19" s="12">
        <f t="shared" si="5"/>
        <v>0.92817575088970006</v>
      </c>
    </row>
    <row r="20" spans="1:9" x14ac:dyDescent="0.3">
      <c r="A20" s="2">
        <v>43647</v>
      </c>
      <c r="B20">
        <v>689795</v>
      </c>
      <c r="C20">
        <v>13536361.820000004</v>
      </c>
      <c r="D20" s="12">
        <f t="shared" si="0"/>
        <v>19.623745924513809</v>
      </c>
      <c r="E20" s="12">
        <f t="shared" si="2"/>
        <v>16.954882157299405</v>
      </c>
      <c r="F20" s="12">
        <f t="shared" si="3"/>
        <v>16.982152407636345</v>
      </c>
      <c r="G20" s="12">
        <f t="shared" si="4"/>
        <v>1.1555511606225852</v>
      </c>
      <c r="H20" s="14">
        <f t="shared" ref="H20:H30" si="6">+H8/AVERAGE($H$7:$H$18)</f>
        <v>1.1642698445074062</v>
      </c>
      <c r="I20" s="12">
        <f t="shared" si="5"/>
        <v>0.99251145778106975</v>
      </c>
    </row>
    <row r="21" spans="1:9" x14ac:dyDescent="0.3">
      <c r="A21" s="2">
        <v>43678</v>
      </c>
      <c r="B21">
        <v>675487</v>
      </c>
      <c r="C21">
        <v>13753001.059999995</v>
      </c>
      <c r="D21" s="12">
        <f t="shared" si="0"/>
        <v>20.360126930644107</v>
      </c>
      <c r="E21" s="12">
        <f t="shared" si="2"/>
        <v>17.009422657973285</v>
      </c>
      <c r="F21" s="12">
        <f t="shared" si="3"/>
        <v>17.088506948487428</v>
      </c>
      <c r="G21" s="12">
        <f t="shared" si="4"/>
        <v>1.1914514820995676</v>
      </c>
      <c r="H21" s="14">
        <f t="shared" si="6"/>
        <v>1.1654872148998114</v>
      </c>
      <c r="I21" s="12">
        <f t="shared" si="5"/>
        <v>1.0222776079118021</v>
      </c>
    </row>
    <row r="22" spans="1:9" x14ac:dyDescent="0.3">
      <c r="A22" s="2">
        <v>43709</v>
      </c>
      <c r="B22">
        <v>657797</v>
      </c>
      <c r="C22">
        <v>13966509.039999999</v>
      </c>
      <c r="D22" s="12">
        <f t="shared" si="0"/>
        <v>21.232248003563409</v>
      </c>
      <c r="E22" s="12">
        <f t="shared" si="2"/>
        <v>17.167591239001574</v>
      </c>
      <c r="F22" s="12">
        <f t="shared" si="3"/>
        <v>17.111862225921641</v>
      </c>
      <c r="G22" s="12">
        <f t="shared" si="4"/>
        <v>1.2407911963783851</v>
      </c>
      <c r="H22" s="14">
        <f t="shared" si="6"/>
        <v>1.2013325247023252</v>
      </c>
      <c r="I22" s="12">
        <f t="shared" si="5"/>
        <v>1.0328457532487412</v>
      </c>
    </row>
    <row r="23" spans="1:9" x14ac:dyDescent="0.3">
      <c r="A23" s="2">
        <v>43739</v>
      </c>
      <c r="B23">
        <v>655788</v>
      </c>
      <c r="C23">
        <v>12056363.099999994</v>
      </c>
      <c r="D23" s="12">
        <f t="shared" si="0"/>
        <v>18.384543633003339</v>
      </c>
      <c r="E23" s="12">
        <f t="shared" si="2"/>
        <v>17.056133212841711</v>
      </c>
      <c r="F23" s="12">
        <f t="shared" si="3"/>
        <v>17.228111155744656</v>
      </c>
      <c r="G23" s="12">
        <f t="shared" si="4"/>
        <v>1.0671247397236043</v>
      </c>
      <c r="H23" s="14">
        <f t="shared" si="6"/>
        <v>1.0567929840268442</v>
      </c>
      <c r="I23" s="12">
        <f t="shared" si="5"/>
        <v>1.0097765180625931</v>
      </c>
    </row>
    <row r="24" spans="1:9" x14ac:dyDescent="0.3">
      <c r="A24" s="2">
        <v>43770</v>
      </c>
      <c r="B24">
        <v>660668</v>
      </c>
      <c r="C24">
        <v>10583416.950000003</v>
      </c>
      <c r="D24" s="12">
        <f t="shared" si="0"/>
        <v>16.019266787554418</v>
      </c>
      <c r="E24" s="12">
        <f t="shared" si="2"/>
        <v>17.400089098647598</v>
      </c>
      <c r="F24" s="12">
        <f t="shared" si="3"/>
        <v>17.45468818040689</v>
      </c>
      <c r="G24" s="12">
        <f t="shared" si="4"/>
        <v>0.91776298848674076</v>
      </c>
      <c r="H24" s="14">
        <f t="shared" si="6"/>
        <v>1.0295483749607743</v>
      </c>
      <c r="I24" s="12">
        <f t="shared" si="5"/>
        <v>0.8914228906647611</v>
      </c>
    </row>
    <row r="25" spans="1:9" x14ac:dyDescent="0.3">
      <c r="A25" s="2">
        <v>43800</v>
      </c>
      <c r="B25">
        <v>659715</v>
      </c>
      <c r="C25">
        <v>11620419.91</v>
      </c>
      <c r="D25" s="12">
        <f t="shared" si="0"/>
        <v>17.614303009632948</v>
      </c>
      <c r="E25" s="12">
        <f t="shared" si="2"/>
        <v>17.509287262166186</v>
      </c>
      <c r="F25" s="12">
        <f t="shared" si="3"/>
        <v>17.488020658564345</v>
      </c>
      <c r="G25" s="12">
        <f t="shared" si="4"/>
        <v>1.0072210774183161</v>
      </c>
      <c r="H25" s="14">
        <f t="shared" si="6"/>
        <v>0.92711850722764078</v>
      </c>
      <c r="I25" s="12">
        <f t="shared" si="5"/>
        <v>1.0863994943108251</v>
      </c>
    </row>
    <row r="26" spans="1:9" x14ac:dyDescent="0.3">
      <c r="A26" s="2">
        <v>43831</v>
      </c>
      <c r="B26">
        <v>669491</v>
      </c>
      <c r="C26">
        <v>10331433.470000001</v>
      </c>
      <c r="D26" s="12">
        <f t="shared" si="0"/>
        <v>15.431773496581732</v>
      </c>
      <c r="E26" s="12">
        <f t="shared" si="2"/>
        <v>17.466754054962504</v>
      </c>
      <c r="F26" s="12">
        <f t="shared" si="3"/>
        <v>17.412048004659596</v>
      </c>
      <c r="G26" s="12">
        <f t="shared" si="4"/>
        <v>0.88626986856756151</v>
      </c>
      <c r="H26" s="14">
        <f t="shared" si="6"/>
        <v>0.85599376299809915</v>
      </c>
      <c r="I26" s="12">
        <f t="shared" si="5"/>
        <v>1.0353695399174649</v>
      </c>
    </row>
    <row r="27" spans="1:9" x14ac:dyDescent="0.3">
      <c r="A27" s="2">
        <v>43862</v>
      </c>
      <c r="B27">
        <v>673848</v>
      </c>
      <c r="C27">
        <v>8652740.4600000065</v>
      </c>
      <c r="D27" s="12">
        <f t="shared" si="0"/>
        <v>12.840789703315892</v>
      </c>
      <c r="E27" s="12">
        <f t="shared" si="2"/>
        <v>17.357341954356688</v>
      </c>
      <c r="F27" s="12">
        <f t="shared" si="3"/>
        <v>17.297002401255742</v>
      </c>
      <c r="G27" s="12">
        <f t="shared" si="4"/>
        <v>0.74237081116342252</v>
      </c>
      <c r="H27" s="14">
        <f t="shared" si="6"/>
        <v>0.77959887959335428</v>
      </c>
      <c r="I27" s="12">
        <f t="shared" si="5"/>
        <v>0.95224714990694914</v>
      </c>
    </row>
    <row r="28" spans="1:9" x14ac:dyDescent="0.3">
      <c r="A28" s="2">
        <v>43891</v>
      </c>
      <c r="B28">
        <v>663199</v>
      </c>
      <c r="C28">
        <v>10839464.360000007</v>
      </c>
      <c r="D28" s="12">
        <f t="shared" si="0"/>
        <v>16.344210953273461</v>
      </c>
      <c r="E28" s="12">
        <f t="shared" si="2"/>
        <v>17.236662848154797</v>
      </c>
      <c r="F28" s="12">
        <f t="shared" si="3"/>
        <v>17.156050412490949</v>
      </c>
      <c r="G28" s="12">
        <f t="shared" si="4"/>
        <v>0.95267911671404248</v>
      </c>
      <c r="H28" s="14">
        <f t="shared" si="6"/>
        <v>0.81864544411868245</v>
      </c>
      <c r="I28" s="12">
        <f t="shared" si="5"/>
        <v>1.1637261571029138</v>
      </c>
    </row>
    <row r="29" spans="1:9" x14ac:dyDescent="0.3">
      <c r="A29" s="2">
        <v>43922</v>
      </c>
      <c r="B29">
        <v>670764</v>
      </c>
      <c r="C29">
        <v>10730760.640000001</v>
      </c>
      <c r="D29" s="12">
        <f t="shared" si="0"/>
        <v>15.997818368308378</v>
      </c>
      <c r="E29" s="12">
        <f t="shared" si="2"/>
        <v>17.0754379768271</v>
      </c>
      <c r="F29" s="12">
        <f t="shared" si="3"/>
        <v>17.156517950976859</v>
      </c>
      <c r="G29" s="12">
        <f t="shared" si="4"/>
        <v>0.93246300991964937</v>
      </c>
      <c r="H29" s="14">
        <f t="shared" si="6"/>
        <v>0.90864294592019912</v>
      </c>
      <c r="I29" s="12">
        <f t="shared" si="5"/>
        <v>1.0262149880834954</v>
      </c>
    </row>
    <row r="30" spans="1:9" x14ac:dyDescent="0.3">
      <c r="A30" s="2">
        <v>43952</v>
      </c>
      <c r="B30">
        <v>693781</v>
      </c>
      <c r="C30">
        <v>11806951.229999995</v>
      </c>
      <c r="D30" s="12">
        <f t="shared" si="0"/>
        <v>17.018268344045161</v>
      </c>
      <c r="E30" s="12">
        <f t="shared" si="2"/>
        <v>17.237597925126618</v>
      </c>
      <c r="F30" s="12">
        <f t="shared" si="3"/>
        <v>17.139666001871564</v>
      </c>
      <c r="G30" s="12">
        <f t="shared" si="4"/>
        <v>0.99291715148864934</v>
      </c>
      <c r="H30" s="14">
        <f t="shared" si="6"/>
        <v>0.95032043190924498</v>
      </c>
      <c r="I30" s="12">
        <f t="shared" si="5"/>
        <v>1.0448235333568754</v>
      </c>
    </row>
    <row r="31" spans="1:9" x14ac:dyDescent="0.3">
      <c r="A31" s="2">
        <v>43983</v>
      </c>
      <c r="B31">
        <v>687954</v>
      </c>
      <c r="C31">
        <v>13239228.930000005</v>
      </c>
      <c r="D31" s="12">
        <f t="shared" si="0"/>
        <v>19.244351991557583</v>
      </c>
      <c r="E31" s="12">
        <f t="shared" si="2"/>
        <v>17.041734078616511</v>
      </c>
      <c r="F31" s="12">
        <f t="shared" si="3"/>
        <v>16.994103227280206</v>
      </c>
      <c r="G31" s="12">
        <f t="shared" si="4"/>
        <v>1.1324135045069696</v>
      </c>
      <c r="H31" s="12">
        <f>+H19</f>
        <v>1.1422490851356175</v>
      </c>
      <c r="I31" s="12">
        <f t="shared" si="5"/>
        <v>0.99138928561498485</v>
      </c>
    </row>
    <row r="32" spans="1:9" x14ac:dyDescent="0.3">
      <c r="A32" s="2">
        <v>44013</v>
      </c>
      <c r="B32">
        <v>684640</v>
      </c>
      <c r="C32">
        <v>13085762.189999996</v>
      </c>
      <c r="D32" s="12">
        <f t="shared" si="0"/>
        <v>19.113347438069635</v>
      </c>
      <c r="E32" s="12">
        <f t="shared" si="2"/>
        <v>16.946472375943905</v>
      </c>
      <c r="F32" s="12">
        <f t="shared" si="3"/>
        <v>16.944459463525583</v>
      </c>
      <c r="G32" s="12">
        <f t="shared" si="4"/>
        <v>1.1279998325831975</v>
      </c>
      <c r="H32" s="12">
        <f t="shared" ref="H32:H84" si="7">+H20</f>
        <v>1.1642698445074062</v>
      </c>
      <c r="I32" s="12">
        <f t="shared" si="5"/>
        <v>0.96884741789429907</v>
      </c>
    </row>
    <row r="33" spans="1:9" x14ac:dyDescent="0.3">
      <c r="A33" s="2">
        <v>44044</v>
      </c>
      <c r="B33">
        <v>722037</v>
      </c>
      <c r="C33">
        <v>13752769.950000001</v>
      </c>
      <c r="D33" s="12">
        <f t="shared" si="0"/>
        <v>19.047181723374287</v>
      </c>
      <c r="E33" s="12">
        <f t="shared" si="2"/>
        <v>16.942446551107263</v>
      </c>
      <c r="F33" s="12">
        <f t="shared" si="3"/>
        <v>16.817625032086177</v>
      </c>
      <c r="G33" s="12">
        <f t="shared" si="4"/>
        <v>1.1325726246740762</v>
      </c>
      <c r="H33" s="12">
        <f t="shared" si="7"/>
        <v>1.1654872148998114</v>
      </c>
      <c r="I33" s="12">
        <f t="shared" si="5"/>
        <v>0.97175894355171921</v>
      </c>
    </row>
    <row r="34" spans="1:9" x14ac:dyDescent="0.3">
      <c r="A34" s="2">
        <v>44075</v>
      </c>
      <c r="B34">
        <v>696694</v>
      </c>
      <c r="C34">
        <v>13783462.879999995</v>
      </c>
      <c r="D34" s="12">
        <f t="shared" si="0"/>
        <v>19.784098729140762</v>
      </c>
      <c r="E34" s="12">
        <f t="shared" si="2"/>
        <v>16.692803513065094</v>
      </c>
      <c r="F34" s="12">
        <f t="shared" si="3"/>
        <v>16.652336832150539</v>
      </c>
      <c r="G34" s="12">
        <f t="shared" si="4"/>
        <v>1.1880674123131929</v>
      </c>
      <c r="H34" s="12">
        <f t="shared" si="7"/>
        <v>1.2013325247023252</v>
      </c>
      <c r="I34" s="12">
        <f t="shared" si="5"/>
        <v>0.98895800112261245</v>
      </c>
    </row>
    <row r="35" spans="1:9" x14ac:dyDescent="0.3">
      <c r="A35" s="2">
        <v>44105</v>
      </c>
      <c r="B35">
        <v>700736</v>
      </c>
      <c r="C35">
        <v>11526998.709999999</v>
      </c>
      <c r="D35" s="12">
        <f t="shared" si="0"/>
        <v>16.449845177070966</v>
      </c>
      <c r="E35" s="12">
        <f t="shared" si="2"/>
        <v>16.611870151235987</v>
      </c>
      <c r="F35" s="12">
        <f t="shared" si="3"/>
        <v>16.632171374667308</v>
      </c>
      <c r="G35" s="12">
        <f t="shared" si="4"/>
        <v>0.98903773936131723</v>
      </c>
      <c r="H35" s="12">
        <f t="shared" si="7"/>
        <v>1.0567929840268442</v>
      </c>
      <c r="I35" s="12">
        <f t="shared" si="5"/>
        <v>0.93588598174890436</v>
      </c>
    </row>
    <row r="36" spans="1:9" x14ac:dyDescent="0.3">
      <c r="A36" s="2">
        <v>44136</v>
      </c>
      <c r="B36">
        <v>703051</v>
      </c>
      <c r="C36">
        <v>12630442.1</v>
      </c>
      <c r="D36" s="12">
        <f t="shared" si="0"/>
        <v>17.965186167148612</v>
      </c>
      <c r="E36" s="12">
        <f t="shared" si="2"/>
        <v>16.652472598098626</v>
      </c>
      <c r="F36" s="12">
        <f t="shared" si="3"/>
        <v>16.700567523605855</v>
      </c>
      <c r="G36" s="12">
        <f t="shared" si="4"/>
        <v>1.075723093946074</v>
      </c>
      <c r="H36" s="12">
        <f t="shared" si="7"/>
        <v>1.0295483749607743</v>
      </c>
      <c r="I36" s="12">
        <f t="shared" si="5"/>
        <v>1.0448494894541103</v>
      </c>
    </row>
    <row r="37" spans="1:9" x14ac:dyDescent="0.3">
      <c r="A37" s="2">
        <v>44166</v>
      </c>
      <c r="B37">
        <v>705005</v>
      </c>
      <c r="C37">
        <v>10761151.799999997</v>
      </c>
      <c r="D37" s="12">
        <f t="shared" si="0"/>
        <v>15.263936851511687</v>
      </c>
      <c r="E37" s="12">
        <f t="shared" si="2"/>
        <v>16.748662449113088</v>
      </c>
      <c r="F37" s="12">
        <f t="shared" si="3"/>
        <v>16.773500664094552</v>
      </c>
      <c r="G37" s="12">
        <f t="shared" si="4"/>
        <v>0.91000305524688441</v>
      </c>
      <c r="H37" s="12">
        <f t="shared" si="7"/>
        <v>0.92711850722764078</v>
      </c>
      <c r="I37" s="12">
        <f t="shared" si="5"/>
        <v>0.98153908928866429</v>
      </c>
    </row>
    <row r="38" spans="1:9" x14ac:dyDescent="0.3">
      <c r="A38" s="2">
        <v>44197</v>
      </c>
      <c r="B38">
        <v>711621</v>
      </c>
      <c r="C38">
        <v>10168091.349999994</v>
      </c>
      <c r="D38" s="12">
        <f t="shared" si="0"/>
        <v>14.288633064510455</v>
      </c>
      <c r="E38" s="12">
        <f t="shared" si="2"/>
        <v>16.798338879076017</v>
      </c>
      <c r="F38" s="12">
        <f t="shared" si="3"/>
        <v>16.878452082812238</v>
      </c>
      <c r="G38" s="12">
        <f t="shared" si="4"/>
        <v>0.84656063212460919</v>
      </c>
      <c r="H38" s="12">
        <f t="shared" si="7"/>
        <v>0.85599376299809915</v>
      </c>
      <c r="I38" s="12">
        <f t="shared" si="5"/>
        <v>0.98897990700253402</v>
      </c>
    </row>
    <row r="39" spans="1:9" x14ac:dyDescent="0.3">
      <c r="A39" s="2">
        <v>44228</v>
      </c>
      <c r="B39">
        <v>711572</v>
      </c>
      <c r="C39">
        <v>9102770.4399999864</v>
      </c>
      <c r="D39" s="12">
        <f t="shared" si="0"/>
        <v>12.792479805276185</v>
      </c>
      <c r="E39" s="12">
        <f t="shared" si="2"/>
        <v>16.958565286548456</v>
      </c>
      <c r="F39" s="12">
        <f t="shared" si="3"/>
        <v>16.925517355402754</v>
      </c>
      <c r="G39" s="12">
        <f t="shared" si="4"/>
        <v>0.75581026781392469</v>
      </c>
      <c r="H39" s="12">
        <f t="shared" si="7"/>
        <v>0.77959887959335428</v>
      </c>
      <c r="I39" s="12">
        <f t="shared" si="5"/>
        <v>0.96948608777909229</v>
      </c>
    </row>
    <row r="40" spans="1:9" x14ac:dyDescent="0.3">
      <c r="A40" s="2">
        <v>44256</v>
      </c>
      <c r="B40">
        <v>715216</v>
      </c>
      <c r="C40">
        <v>9547056.8400000054</v>
      </c>
      <c r="D40" s="12">
        <f t="shared" si="0"/>
        <v>13.348494496767417</v>
      </c>
      <c r="E40" s="12">
        <f t="shared" si="2"/>
        <v>16.892469424257047</v>
      </c>
      <c r="F40" s="12">
        <f t="shared" si="3"/>
        <v>16.933551439234293</v>
      </c>
      <c r="G40" s="12">
        <f t="shared" si="4"/>
        <v>0.78828676575426126</v>
      </c>
      <c r="H40" s="12">
        <f t="shared" si="7"/>
        <v>0.81864544411868245</v>
      </c>
      <c r="I40" s="12">
        <f t="shared" si="5"/>
        <v>0.96291596248104205</v>
      </c>
    </row>
    <row r="41" spans="1:9" x14ac:dyDescent="0.3">
      <c r="A41" s="2">
        <v>44287</v>
      </c>
      <c r="B41">
        <v>719979</v>
      </c>
      <c r="C41">
        <v>10818849.419999991</v>
      </c>
      <c r="D41" s="12">
        <f t="shared" si="0"/>
        <v>15.026618026359088</v>
      </c>
      <c r="E41" s="12">
        <f t="shared" si="2"/>
        <v>16.974633454211535</v>
      </c>
      <c r="F41" s="12">
        <f t="shared" si="3"/>
        <v>16.971080897307992</v>
      </c>
      <c r="G41" s="12">
        <f t="shared" si="4"/>
        <v>0.8854249247461109</v>
      </c>
      <c r="H41" s="12">
        <f t="shared" si="7"/>
        <v>0.90864294592019912</v>
      </c>
      <c r="I41" s="12">
        <f t="shared" si="5"/>
        <v>0.97444758551382915</v>
      </c>
    </row>
    <row r="42" spans="1:9" x14ac:dyDescent="0.3">
      <c r="A42" s="2">
        <v>44317</v>
      </c>
      <c r="B42">
        <v>728984</v>
      </c>
      <c r="C42">
        <v>12761227.739999993</v>
      </c>
      <c r="D42" s="12">
        <f t="shared" si="0"/>
        <v>17.505497706396838</v>
      </c>
      <c r="E42" s="12">
        <f t="shared" si="2"/>
        <v>16.967528340404453</v>
      </c>
      <c r="F42" s="12">
        <f t="shared" si="3"/>
        <v>16.974962864881586</v>
      </c>
      <c r="G42" s="12">
        <f t="shared" si="4"/>
        <v>1.0312539618341576</v>
      </c>
      <c r="H42" s="12">
        <f t="shared" si="7"/>
        <v>0.95032043190924498</v>
      </c>
      <c r="I42" s="12">
        <f t="shared" si="5"/>
        <v>1.0851644636981159</v>
      </c>
    </row>
    <row r="43" spans="1:9" x14ac:dyDescent="0.3">
      <c r="A43" s="2">
        <v>44348</v>
      </c>
      <c r="B43">
        <v>726546</v>
      </c>
      <c r="C43">
        <v>14820543.179999998</v>
      </c>
      <c r="D43" s="12">
        <f t="shared" si="0"/>
        <v>20.398630203731074</v>
      </c>
      <c r="E43" s="12">
        <f t="shared" si="2"/>
        <v>16.98239738935872</v>
      </c>
      <c r="F43" s="12">
        <f t="shared" si="3"/>
        <v>16.999021560052142</v>
      </c>
      <c r="G43" s="12">
        <f t="shared" si="4"/>
        <v>1.1999884894356534</v>
      </c>
      <c r="H43" s="12">
        <f t="shared" si="7"/>
        <v>1.1422490851356175</v>
      </c>
      <c r="I43" s="12">
        <f t="shared" si="5"/>
        <v>1.0505488733161739</v>
      </c>
    </row>
    <row r="44" spans="1:9" x14ac:dyDescent="0.3">
      <c r="A44" s="2">
        <v>44378</v>
      </c>
      <c r="B44">
        <v>740826</v>
      </c>
      <c r="C44">
        <v>14601283.819999991</v>
      </c>
      <c r="D44" s="12">
        <f t="shared" si="0"/>
        <v>19.709464597624802</v>
      </c>
      <c r="E44" s="12">
        <f t="shared" si="2"/>
        <v>17.015645730745565</v>
      </c>
      <c r="F44" s="12">
        <f t="shared" si="3"/>
        <v>17.028574345237313</v>
      </c>
      <c r="G44" s="12">
        <f t="shared" si="4"/>
        <v>1.1574348032921089</v>
      </c>
      <c r="H44" s="12">
        <f t="shared" si="7"/>
        <v>1.1642698445074062</v>
      </c>
      <c r="I44" s="12">
        <f t="shared" si="5"/>
        <v>0.994129332433076</v>
      </c>
    </row>
    <row r="45" spans="1:9" x14ac:dyDescent="0.3">
      <c r="A45" s="2">
        <v>44409</v>
      </c>
      <c r="B45">
        <v>746743</v>
      </c>
      <c r="C45">
        <v>15659124.999999996</v>
      </c>
      <c r="D45" s="12">
        <f t="shared" si="0"/>
        <v>20.969898613043572</v>
      </c>
      <c r="E45" s="12">
        <f t="shared" si="2"/>
        <v>17.041502959729062</v>
      </c>
      <c r="F45" s="12">
        <f t="shared" si="3"/>
        <v>16.984079633666873</v>
      </c>
      <c r="G45" s="12">
        <f t="shared" si="4"/>
        <v>1.2346797156718323</v>
      </c>
      <c r="H45" s="12">
        <f t="shared" si="7"/>
        <v>1.1654872148998114</v>
      </c>
      <c r="I45" s="12">
        <f t="shared" si="5"/>
        <v>1.0593678762730734</v>
      </c>
    </row>
    <row r="46" spans="1:9" x14ac:dyDescent="0.3">
      <c r="A46" s="2">
        <v>44440</v>
      </c>
      <c r="B46">
        <v>748939</v>
      </c>
      <c r="C46">
        <v>14223061.890000002</v>
      </c>
      <c r="D46" s="12">
        <f t="shared" si="0"/>
        <v>18.990948381643904</v>
      </c>
      <c r="E46" s="12">
        <f t="shared" si="2"/>
        <v>16.926656307604688</v>
      </c>
      <c r="F46" s="12">
        <f t="shared" si="3"/>
        <v>16.883950590567608</v>
      </c>
      <c r="G46" s="12">
        <f t="shared" si="4"/>
        <v>1.1247929375162582</v>
      </c>
      <c r="H46" s="12">
        <f t="shared" si="7"/>
        <v>1.2013325247023252</v>
      </c>
      <c r="I46" s="12">
        <f t="shared" si="5"/>
        <v>0.93628775912395079</v>
      </c>
    </row>
    <row r="47" spans="1:9" x14ac:dyDescent="0.3">
      <c r="A47" s="2">
        <v>44470</v>
      </c>
      <c r="B47">
        <v>752394</v>
      </c>
      <c r="C47">
        <v>13118601.490000013</v>
      </c>
      <c r="D47" s="12">
        <f t="shared" si="0"/>
        <v>17.435813536524766</v>
      </c>
      <c r="E47" s="12">
        <f t="shared" si="2"/>
        <v>16.841244873530528</v>
      </c>
      <c r="F47" s="12">
        <f t="shared" si="3"/>
        <v>16.789946888774871</v>
      </c>
      <c r="G47" s="12">
        <f t="shared" si="4"/>
        <v>1.038467462227751</v>
      </c>
      <c r="H47" s="12">
        <f t="shared" si="7"/>
        <v>1.0567929840268442</v>
      </c>
      <c r="I47" s="12">
        <f t="shared" si="5"/>
        <v>0.98265930785302458</v>
      </c>
    </row>
    <row r="48" spans="1:9" x14ac:dyDescent="0.3">
      <c r="A48" s="2">
        <v>44501</v>
      </c>
      <c r="B48">
        <v>754270</v>
      </c>
      <c r="C48">
        <v>13486290.880000001</v>
      </c>
      <c r="D48" s="12">
        <f t="shared" si="0"/>
        <v>17.87992480146367</v>
      </c>
      <c r="E48" s="12">
        <f t="shared" si="2"/>
        <v>16.738648904019218</v>
      </c>
      <c r="F48" s="12">
        <f t="shared" si="3"/>
        <v>16.672622572484435</v>
      </c>
      <c r="G48" s="12">
        <f t="shared" si="4"/>
        <v>1.0724122569038237</v>
      </c>
      <c r="H48" s="12">
        <f t="shared" si="7"/>
        <v>1.0295483749607743</v>
      </c>
      <c r="I48" s="12">
        <f t="shared" si="5"/>
        <v>1.041633674517414</v>
      </c>
    </row>
    <row r="49" spans="1:9" x14ac:dyDescent="0.3">
      <c r="A49" s="2">
        <v>44531</v>
      </c>
      <c r="B49">
        <v>759005</v>
      </c>
      <c r="C49">
        <v>11720832.580000002</v>
      </c>
      <c r="D49" s="12">
        <f t="shared" si="0"/>
        <v>15.442365438962856</v>
      </c>
      <c r="E49" s="12">
        <f t="shared" si="2"/>
        <v>16.606596240949649</v>
      </c>
      <c r="F49" s="12">
        <f t="shared" si="3"/>
        <v>16.557368192342068</v>
      </c>
      <c r="G49" s="12">
        <f t="shared" si="4"/>
        <v>0.9326582135260536</v>
      </c>
      <c r="H49" s="12">
        <f t="shared" si="7"/>
        <v>0.92711850722764078</v>
      </c>
      <c r="I49" s="12">
        <f t="shared" si="5"/>
        <v>1.0059751868345053</v>
      </c>
    </row>
    <row r="50" spans="1:9" x14ac:dyDescent="0.3">
      <c r="A50" s="2">
        <v>44562</v>
      </c>
      <c r="B50">
        <v>760906</v>
      </c>
      <c r="C50">
        <v>11175892.979999986</v>
      </c>
      <c r="D50" s="12">
        <f t="shared" si="0"/>
        <v>14.687613161152607</v>
      </c>
      <c r="E50" s="12">
        <f t="shared" si="2"/>
        <v>16.50814014373449</v>
      </c>
      <c r="F50" s="12">
        <f t="shared" si="3"/>
        <v>16.378245788431123</v>
      </c>
      <c r="G50" s="12">
        <f t="shared" si="4"/>
        <v>0.89677572011572171</v>
      </c>
      <c r="H50" s="12">
        <f t="shared" si="7"/>
        <v>0.85599376299809915</v>
      </c>
      <c r="I50" s="12">
        <f t="shared" si="5"/>
        <v>1.047642820404187</v>
      </c>
    </row>
    <row r="51" spans="1:9" x14ac:dyDescent="0.3">
      <c r="A51" s="2">
        <v>44593</v>
      </c>
      <c r="B51">
        <v>774433</v>
      </c>
      <c r="C51">
        <v>10147214.809999995</v>
      </c>
      <c r="D51" s="12">
        <f t="shared" si="0"/>
        <v>13.102766553078181</v>
      </c>
      <c r="E51" s="12">
        <f t="shared" si="2"/>
        <v>16.248351433127752</v>
      </c>
      <c r="F51" s="12">
        <f t="shared" si="3"/>
        <v>16.306549861518278</v>
      </c>
      <c r="G51" s="12">
        <f t="shared" si="4"/>
        <v>0.80352782558861924</v>
      </c>
      <c r="H51" s="12">
        <f t="shared" si="7"/>
        <v>0.77959887959335428</v>
      </c>
      <c r="I51" s="12">
        <f t="shared" si="5"/>
        <v>1.0306939204527159</v>
      </c>
    </row>
    <row r="52" spans="1:9" x14ac:dyDescent="0.3">
      <c r="A52" s="2">
        <v>44621</v>
      </c>
      <c r="B52">
        <v>824899</v>
      </c>
      <c r="C52">
        <v>9874317.0999999996</v>
      </c>
      <c r="D52" s="12">
        <f t="shared" si="0"/>
        <v>11.970334671274907</v>
      </c>
      <c r="E52" s="12">
        <f t="shared" si="2"/>
        <v>16.364748289908807</v>
      </c>
      <c r="F52" s="12">
        <f t="shared" si="3"/>
        <v>16.435871442908937</v>
      </c>
      <c r="G52" s="12">
        <f t="shared" si="4"/>
        <v>0.72830544537018549</v>
      </c>
      <c r="H52" s="12">
        <f t="shared" si="7"/>
        <v>0.81864544411868245</v>
      </c>
      <c r="I52" s="12">
        <f t="shared" si="5"/>
        <v>0.88964697794690228</v>
      </c>
    </row>
    <row r="53" spans="1:9" x14ac:dyDescent="0.3">
      <c r="A53" s="2">
        <v>44652</v>
      </c>
      <c r="B53">
        <v>792299</v>
      </c>
      <c r="C53">
        <v>11093517.710000008</v>
      </c>
      <c r="D53" s="12">
        <f t="shared" si="0"/>
        <v>14.001680817469174</v>
      </c>
      <c r="E53" s="12">
        <f t="shared" si="2"/>
        <v>16.506994595909067</v>
      </c>
      <c r="F53" s="12">
        <f t="shared" si="3"/>
        <v>16.452924157285061</v>
      </c>
      <c r="G53" s="12">
        <f t="shared" si="4"/>
        <v>0.85101473048907716</v>
      </c>
      <c r="H53" s="12">
        <f t="shared" si="7"/>
        <v>0.90864294592019912</v>
      </c>
      <c r="I53" s="12">
        <f t="shared" si="5"/>
        <v>0.93657771109116927</v>
      </c>
    </row>
    <row r="54" spans="1:9" x14ac:dyDescent="0.3">
      <c r="A54" s="2">
        <v>44682</v>
      </c>
      <c r="B54">
        <v>800486</v>
      </c>
      <c r="C54">
        <v>13027386.189999998</v>
      </c>
      <c r="D54" s="12">
        <f t="shared" si="0"/>
        <v>16.2743460722611</v>
      </c>
      <c r="E54" s="12">
        <f t="shared" si="2"/>
        <v>16.398853718661055</v>
      </c>
      <c r="F54" s="12">
        <f t="shared" si="3"/>
        <v>16.388145226769794</v>
      </c>
      <c r="G54" s="12">
        <f t="shared" si="4"/>
        <v>0.99305600768518909</v>
      </c>
      <c r="H54" s="12">
        <f t="shared" si="7"/>
        <v>0.95032043190924498</v>
      </c>
      <c r="I54" s="12">
        <f t="shared" si="5"/>
        <v>1.0449696484901267</v>
      </c>
    </row>
    <row r="55" spans="1:9" x14ac:dyDescent="0.3">
      <c r="A55" s="2">
        <v>44713</v>
      </c>
      <c r="B55">
        <v>803147</v>
      </c>
      <c r="C55">
        <v>15110406.249999996</v>
      </c>
      <c r="D55" s="12">
        <f t="shared" si="0"/>
        <v>18.813998246896269</v>
      </c>
      <c r="E55" s="12">
        <f t="shared" si="2"/>
        <v>16.377436734878533</v>
      </c>
      <c r="F55" s="12">
        <f t="shared" si="3"/>
        <v>16.333922692581361</v>
      </c>
      <c r="G55" s="12">
        <f t="shared" si="4"/>
        <v>1.1518358817408463</v>
      </c>
      <c r="H55" s="12">
        <f t="shared" si="7"/>
        <v>1.1422490851356175</v>
      </c>
      <c r="I55" s="12">
        <f t="shared" si="5"/>
        <v>1.0083929124829112</v>
      </c>
    </row>
    <row r="56" spans="1:9" x14ac:dyDescent="0.3">
      <c r="A56" s="2">
        <v>44743</v>
      </c>
      <c r="B56">
        <v>813868</v>
      </c>
      <c r="C56">
        <v>15079339.329999994</v>
      </c>
      <c r="D56" s="12">
        <f t="shared" si="0"/>
        <v>18.527991431042864</v>
      </c>
      <c r="E56" s="12">
        <f t="shared" si="2"/>
        <v>16.290408650284188</v>
      </c>
      <c r="F56" s="12">
        <f t="shared" si="3"/>
        <v>16.282068204243135</v>
      </c>
      <c r="G56" s="12">
        <f t="shared" si="4"/>
        <v>1.1379384485205901</v>
      </c>
      <c r="H56" s="12">
        <f t="shared" si="7"/>
        <v>1.1642698445074062</v>
      </c>
      <c r="I56" s="12">
        <f t="shared" si="5"/>
        <v>0.97738376879635092</v>
      </c>
    </row>
    <row r="57" spans="1:9" x14ac:dyDescent="0.3">
      <c r="A57" s="2">
        <v>44774</v>
      </c>
      <c r="B57">
        <v>815226</v>
      </c>
      <c r="C57">
        <v>14553768.43</v>
      </c>
      <c r="D57" s="12">
        <f t="shared" si="0"/>
        <v>17.85243408576272</v>
      </c>
      <c r="E57" s="12">
        <f t="shared" si="2"/>
        <v>16.273727758202082</v>
      </c>
      <c r="F57" s="12">
        <f t="shared" si="3"/>
        <v>16.291492286648012</v>
      </c>
      <c r="G57" s="12">
        <f t="shared" si="4"/>
        <v>1.0958133098951288</v>
      </c>
      <c r="H57" s="12">
        <f t="shared" si="7"/>
        <v>1.1654872148998114</v>
      </c>
      <c r="I57" s="12">
        <f t="shared" si="5"/>
        <v>0.9402190739512557</v>
      </c>
    </row>
    <row r="58" spans="1:9" x14ac:dyDescent="0.3">
      <c r="A58" s="2">
        <v>44805</v>
      </c>
      <c r="B58">
        <v>827008</v>
      </c>
      <c r="C58">
        <v>16860799.819999993</v>
      </c>
      <c r="D58" s="12">
        <f t="shared" si="0"/>
        <v>20.387710663016552</v>
      </c>
      <c r="E58" s="12">
        <f t="shared" si="2"/>
        <v>16.309256815093942</v>
      </c>
      <c r="F58" s="12">
        <f t="shared" si="3"/>
        <v>16.280402141534474</v>
      </c>
      <c r="G58" s="12">
        <f t="shared" si="4"/>
        <v>1.2522854463774906</v>
      </c>
      <c r="H58" s="12">
        <f t="shared" si="7"/>
        <v>1.2013325247023252</v>
      </c>
      <c r="I58" s="12">
        <f t="shared" si="5"/>
        <v>1.0424136703430975</v>
      </c>
    </row>
    <row r="59" spans="1:9" x14ac:dyDescent="0.3">
      <c r="A59" s="2">
        <v>44835</v>
      </c>
      <c r="B59">
        <v>836972</v>
      </c>
      <c r="C59">
        <v>16021961.829999991</v>
      </c>
      <c r="D59" s="12">
        <f t="shared" si="0"/>
        <v>19.142769208527874</v>
      </c>
      <c r="E59" s="12">
        <f t="shared" si="2"/>
        <v>16.251547467975005</v>
      </c>
      <c r="F59" s="12">
        <f t="shared" si="3"/>
        <v>16.174516941122469</v>
      </c>
      <c r="G59" s="12">
        <f t="shared" si="4"/>
        <v>1.183514121516597</v>
      </c>
      <c r="H59" s="12">
        <f t="shared" si="7"/>
        <v>1.0567929840268442</v>
      </c>
      <c r="I59" s="12">
        <f t="shared" si="5"/>
        <v>1.1199110321558812</v>
      </c>
    </row>
    <row r="60" spans="1:9" x14ac:dyDescent="0.3">
      <c r="A60" s="2">
        <v>44866</v>
      </c>
      <c r="B60">
        <v>835251</v>
      </c>
      <c r="C60">
        <v>13850327.760000005</v>
      </c>
      <c r="D60" s="12">
        <f t="shared" si="0"/>
        <v>16.582234274487554</v>
      </c>
      <c r="E60" s="12">
        <f t="shared" si="2"/>
        <v>16.097486414269934</v>
      </c>
      <c r="F60" s="12">
        <f t="shared" si="3"/>
        <v>16.021290787605292</v>
      </c>
      <c r="G60" s="12">
        <f t="shared" si="4"/>
        <v>1.0350123778613538</v>
      </c>
      <c r="H60" s="12">
        <f t="shared" si="7"/>
        <v>1.0295483749607743</v>
      </c>
      <c r="I60" s="12">
        <f t="shared" si="5"/>
        <v>1.0053071842309378</v>
      </c>
    </row>
    <row r="61" spans="1:9" x14ac:dyDescent="0.3">
      <c r="A61" s="2">
        <v>44896</v>
      </c>
      <c r="B61">
        <v>839828</v>
      </c>
      <c r="C61">
        <v>12753091.889999997</v>
      </c>
      <c r="D61" s="12">
        <f t="shared" si="0"/>
        <v>15.185361633572585</v>
      </c>
      <c r="E61" s="12">
        <f t="shared" si="2"/>
        <v>15.945095160940648</v>
      </c>
      <c r="F61" s="12">
        <f t="shared" si="3"/>
        <v>15.915029297979526</v>
      </c>
      <c r="G61" s="12">
        <f t="shared" si="4"/>
        <v>0.9541522889625107</v>
      </c>
      <c r="H61" s="12">
        <f t="shared" si="7"/>
        <v>0.92711850722764078</v>
      </c>
      <c r="I61" s="12">
        <f t="shared" si="5"/>
        <v>1.0291589279300539</v>
      </c>
    </row>
    <row r="62" spans="1:9" x14ac:dyDescent="0.3">
      <c r="A62" s="2">
        <v>44927</v>
      </c>
      <c r="B62">
        <v>842786</v>
      </c>
      <c r="C62">
        <v>11498362.130000003</v>
      </c>
      <c r="D62" s="12">
        <f t="shared" si="0"/>
        <v>13.643276146020463</v>
      </c>
      <c r="E62" s="12">
        <f t="shared" si="2"/>
        <v>15.884963435018404</v>
      </c>
      <c r="F62" s="12">
        <f t="shared" si="3"/>
        <v>15.83385476440265</v>
      </c>
      <c r="G62" s="12">
        <f t="shared" si="4"/>
        <v>0.8616522223440497</v>
      </c>
      <c r="H62" s="12">
        <f t="shared" si="7"/>
        <v>0.85599376299809915</v>
      </c>
      <c r="I62" s="12">
        <f t="shared" si="5"/>
        <v>1.0066103978680077</v>
      </c>
    </row>
    <row r="63" spans="1:9" x14ac:dyDescent="0.3">
      <c r="A63" s="2">
        <v>44958</v>
      </c>
      <c r="B63">
        <v>849730</v>
      </c>
      <c r="C63">
        <v>10963722.77</v>
      </c>
      <c r="D63" s="12">
        <f t="shared" si="0"/>
        <v>12.902595848092924</v>
      </c>
      <c r="E63" s="12">
        <f t="shared" si="2"/>
        <v>15.782746093786896</v>
      </c>
      <c r="F63" s="12">
        <f t="shared" si="3"/>
        <v>15.633923351067935</v>
      </c>
      <c r="G63" s="12">
        <f t="shared" si="4"/>
        <v>0.82529481297550067</v>
      </c>
      <c r="H63" s="12">
        <f t="shared" si="7"/>
        <v>0.77959887959335428</v>
      </c>
      <c r="I63" s="12">
        <f t="shared" si="5"/>
        <v>1.0586146729789834</v>
      </c>
    </row>
    <row r="64" spans="1:9" x14ac:dyDescent="0.3">
      <c r="A64" s="2">
        <v>44986</v>
      </c>
      <c r="B64">
        <v>871121</v>
      </c>
      <c r="C64">
        <v>10799011.199999999</v>
      </c>
      <c r="D64" s="12">
        <f t="shared" si="0"/>
        <v>12.396683353977231</v>
      </c>
      <c r="E64" s="12">
        <f t="shared" si="2"/>
        <v>15.485100608348972</v>
      </c>
      <c r="F64" s="12">
        <f t="shared" si="3"/>
        <v>15.268929970375389</v>
      </c>
      <c r="G64" s="12">
        <f t="shared" si="4"/>
        <v>0.81188946298327003</v>
      </c>
      <c r="H64" s="12">
        <f t="shared" si="7"/>
        <v>0.81864544411868245</v>
      </c>
      <c r="I64" s="12">
        <f t="shared" si="5"/>
        <v>0.99174736611075176</v>
      </c>
    </row>
    <row r="65" spans="1:9" x14ac:dyDescent="0.3">
      <c r="A65" s="2">
        <v>45017</v>
      </c>
      <c r="B65">
        <v>872631</v>
      </c>
      <c r="C65">
        <v>11613993.149999995</v>
      </c>
      <c r="D65" s="12">
        <f t="shared" si="0"/>
        <v>13.309168652041922</v>
      </c>
      <c r="E65" s="12">
        <f t="shared" si="2"/>
        <v>15.052759332401804</v>
      </c>
      <c r="F65" s="12">
        <f t="shared" si="3"/>
        <v>14.943931834755464</v>
      </c>
      <c r="G65" s="12">
        <f t="shared" si="4"/>
        <v>0.89060688975363678</v>
      </c>
      <c r="H65" s="12">
        <f t="shared" si="7"/>
        <v>0.90864294592019912</v>
      </c>
      <c r="I65" s="12">
        <f t="shared" si="5"/>
        <v>0.98015055721552224</v>
      </c>
    </row>
    <row r="66" spans="1:9" x14ac:dyDescent="0.3">
      <c r="A66" s="2">
        <v>45047</v>
      </c>
      <c r="B66">
        <v>889200</v>
      </c>
      <c r="C66">
        <v>12827255.460000003</v>
      </c>
      <c r="D66" s="12">
        <f t="shared" si="0"/>
        <v>14.425613427800274</v>
      </c>
      <c r="E66" s="12">
        <f t="shared" si="2"/>
        <v>14.835104337109122</v>
      </c>
      <c r="F66" s="12">
        <f t="shared" si="3"/>
        <v>14.640092885432004</v>
      </c>
      <c r="G66" s="12">
        <f t="shared" si="4"/>
        <v>0.98534985677275633</v>
      </c>
      <c r="H66" s="12">
        <f t="shared" si="7"/>
        <v>0.95032043190924498</v>
      </c>
      <c r="I66" s="12">
        <f t="shared" si="5"/>
        <v>1.0368606458277818</v>
      </c>
    </row>
    <row r="67" spans="1:9" x14ac:dyDescent="0.3">
      <c r="A67" s="2">
        <v>45078</v>
      </c>
      <c r="B67">
        <v>892064</v>
      </c>
      <c r="C67">
        <v>15151977.519999998</v>
      </c>
      <c r="D67" s="12">
        <f t="shared" si="0"/>
        <v>16.985303206944792</v>
      </c>
      <c r="E67" s="12">
        <f t="shared" si="2"/>
        <v>14.445081433754888</v>
      </c>
      <c r="F67" s="12">
        <f t="shared" si="3"/>
        <v>14.313801563523946</v>
      </c>
      <c r="G67" s="12">
        <f t="shared" si="4"/>
        <v>1.1866381639821437</v>
      </c>
      <c r="H67" s="12">
        <f t="shared" si="7"/>
        <v>1.1422490851356175</v>
      </c>
      <c r="I67" s="12">
        <f t="shared" si="5"/>
        <v>1.0388611200693199</v>
      </c>
    </row>
    <row r="68" spans="1:9" x14ac:dyDescent="0.3">
      <c r="A68" s="2">
        <v>45108</v>
      </c>
      <c r="B68">
        <v>903808</v>
      </c>
      <c r="C68">
        <v>16093576.459999997</v>
      </c>
      <c r="D68" s="12">
        <f t="shared" si="0"/>
        <v>17.806410719975922</v>
      </c>
      <c r="E68" s="12">
        <f t="shared" si="2"/>
        <v>14.182521693293005</v>
      </c>
      <c r="F68" s="12">
        <f t="shared" si="3"/>
        <v>14.102457409287364</v>
      </c>
      <c r="G68" s="12">
        <f t="shared" si="4"/>
        <v>1.26264594908468</v>
      </c>
      <c r="H68" s="12">
        <f t="shared" si="7"/>
        <v>1.1642698445074062</v>
      </c>
      <c r="I68" s="12">
        <f t="shared" si="5"/>
        <v>1.084495965468294</v>
      </c>
    </row>
    <row r="69" spans="1:9" x14ac:dyDescent="0.3">
      <c r="A69" s="2">
        <v>45139</v>
      </c>
      <c r="B69">
        <v>914217</v>
      </c>
      <c r="C69">
        <v>15199612.759999998</v>
      </c>
      <c r="D69" s="12">
        <f t="shared" si="0"/>
        <v>16.625825990984634</v>
      </c>
      <c r="E69" s="12">
        <f t="shared" si="2"/>
        <v>14.022393125281722</v>
      </c>
      <c r="F69" s="12">
        <f t="shared" si="3"/>
        <v>13.93426804724591</v>
      </c>
      <c r="G69" s="12">
        <f t="shared" si="4"/>
        <v>1.1931610569434041</v>
      </c>
      <c r="H69" s="12">
        <f t="shared" si="7"/>
        <v>1.1654872148998114</v>
      </c>
      <c r="I69" s="12">
        <f t="shared" si="5"/>
        <v>1.0237444406852387</v>
      </c>
    </row>
    <row r="70" spans="1:9" x14ac:dyDescent="0.3">
      <c r="A70" s="2">
        <v>45170</v>
      </c>
      <c r="B70">
        <v>915812</v>
      </c>
      <c r="C70">
        <v>15400262.390000002</v>
      </c>
      <c r="D70" s="12">
        <f t="shared" si="0"/>
        <v>16.815964837761463</v>
      </c>
      <c r="E70" s="12">
        <f t="shared" si="2"/>
        <v>13.846142969210097</v>
      </c>
      <c r="F70" s="12">
        <f t="shared" si="3"/>
        <v>13.765633837402461</v>
      </c>
      <c r="G70" s="12">
        <f t="shared" si="4"/>
        <v>1.2215903049862462</v>
      </c>
      <c r="H70" s="12">
        <f t="shared" si="7"/>
        <v>1.2013325247023252</v>
      </c>
      <c r="I70" s="12">
        <f t="shared" si="5"/>
        <v>1.0168627585346868</v>
      </c>
    </row>
    <row r="71" spans="1:9" x14ac:dyDescent="0.3">
      <c r="A71" s="2">
        <v>45200</v>
      </c>
      <c r="B71">
        <v>923957</v>
      </c>
      <c r="C71">
        <v>12893518.629999995</v>
      </c>
      <c r="D71" s="12">
        <f t="shared" si="0"/>
        <v>13.954673897161875</v>
      </c>
      <c r="E71" s="12">
        <f t="shared" si="2"/>
        <v>13.685124705594825</v>
      </c>
      <c r="F71" s="12">
        <f t="shared" si="3"/>
        <v>13.625280334067719</v>
      </c>
      <c r="G71" s="12">
        <f t="shared" si="4"/>
        <v>1.0241751769518137</v>
      </c>
      <c r="H71" s="12">
        <f t="shared" si="7"/>
        <v>1.0567929840268442</v>
      </c>
      <c r="I71" s="12">
        <f t="shared" si="5"/>
        <v>0.96913510255268509</v>
      </c>
    </row>
    <row r="72" spans="1:9" x14ac:dyDescent="0.3">
      <c r="A72" s="2">
        <v>45231</v>
      </c>
      <c r="B72">
        <v>929338</v>
      </c>
      <c r="C72">
        <v>12983199.739999995</v>
      </c>
      <c r="D72" s="12">
        <f t="shared" ref="D72:D84" si="8">+C72/B72</f>
        <v>13.970374330975377</v>
      </c>
      <c r="E72" s="12">
        <f t="shared" si="2"/>
        <v>13.565435962540613</v>
      </c>
      <c r="F72" s="12">
        <f t="shared" si="3"/>
        <v>13.479957092894436</v>
      </c>
      <c r="G72" s="12">
        <f t="shared" si="4"/>
        <v>1.0363812165499733</v>
      </c>
      <c r="H72" s="12">
        <f t="shared" si="7"/>
        <v>1.0295483749607743</v>
      </c>
      <c r="I72" s="12">
        <f t="shared" si="5"/>
        <v>1.0066367368016673</v>
      </c>
    </row>
    <row r="73" spans="1:9" x14ac:dyDescent="0.3">
      <c r="A73" s="2">
        <v>45261</v>
      </c>
      <c r="B73">
        <v>938033</v>
      </c>
      <c r="C73">
        <v>9854118.0800000094</v>
      </c>
      <c r="D73" s="12">
        <f t="shared" si="8"/>
        <v>10.50508679332178</v>
      </c>
      <c r="E73" s="12">
        <f t="shared" si="2"/>
        <v>13.394478223248258</v>
      </c>
      <c r="F73" s="12">
        <f t="shared" si="3"/>
        <v>13.159285061624118</v>
      </c>
      <c r="G73" s="12">
        <f t="shared" si="4"/>
        <v>0.79830224393856575</v>
      </c>
      <c r="H73" s="12">
        <f t="shared" si="7"/>
        <v>0.92711850722764078</v>
      </c>
      <c r="I73" s="12">
        <f t="shared" si="5"/>
        <v>0.86105739203257425</v>
      </c>
    </row>
    <row r="74" spans="1:9" x14ac:dyDescent="0.3">
      <c r="A74" s="2">
        <v>45292</v>
      </c>
      <c r="B74">
        <v>954346</v>
      </c>
      <c r="C74">
        <v>10013531.960000003</v>
      </c>
      <c r="D74" s="12">
        <f t="shared" si="8"/>
        <v>10.49255926047786</v>
      </c>
      <c r="E74" s="12">
        <f t="shared" si="2"/>
        <v>12.924091899999979</v>
      </c>
      <c r="F74" s="12">
        <f t="shared" si="3"/>
        <v>12.9250351909951</v>
      </c>
      <c r="G74" s="12">
        <f t="shared" si="4"/>
        <v>0.81180121411104922</v>
      </c>
      <c r="H74" s="12">
        <f t="shared" si="7"/>
        <v>0.85599376299809915</v>
      </c>
      <c r="I74" s="12">
        <f t="shared" si="5"/>
        <v>0.94837281438562537</v>
      </c>
    </row>
    <row r="75" spans="1:9" x14ac:dyDescent="0.3">
      <c r="A75" s="2">
        <v>45323</v>
      </c>
      <c r="B75">
        <v>956989</v>
      </c>
      <c r="C75">
        <v>10508746.959999997</v>
      </c>
      <c r="D75" s="12">
        <f t="shared" si="8"/>
        <v>10.981053031957522</v>
      </c>
      <c r="E75" s="12">
        <f t="shared" si="2"/>
        <v>12.925978481990221</v>
      </c>
      <c r="F75" s="12">
        <f t="shared" si="3"/>
        <v>12.901141562653898</v>
      </c>
      <c r="G75" s="12">
        <f t="shared" si="4"/>
        <v>0.85116909838005117</v>
      </c>
      <c r="H75" s="12">
        <f t="shared" si="7"/>
        <v>0.77959887959335428</v>
      </c>
      <c r="I75" s="12">
        <f t="shared" si="5"/>
        <v>1.0918039015448926</v>
      </c>
    </row>
    <row r="76" spans="1:9" x14ac:dyDescent="0.3">
      <c r="A76" s="2">
        <v>45352</v>
      </c>
      <c r="B76">
        <v>957061</v>
      </c>
      <c r="C76">
        <v>9840196.3599999994</v>
      </c>
      <c r="D76" s="12">
        <f t="shared" si="8"/>
        <v>10.281681481117714</v>
      </c>
      <c r="E76" s="12">
        <f t="shared" si="2"/>
        <v>12.876304643317576</v>
      </c>
      <c r="F76" s="12">
        <f t="shared" si="3"/>
        <v>12.867467888602029</v>
      </c>
      <c r="G76" s="12">
        <f t="shared" si="4"/>
        <v>0.79904465821322945</v>
      </c>
      <c r="H76" s="12">
        <f t="shared" si="7"/>
        <v>0.81864544411868245</v>
      </c>
      <c r="I76" s="12">
        <f t="shared" si="5"/>
        <v>0.97605705125916342</v>
      </c>
    </row>
    <row r="77" spans="1:9" x14ac:dyDescent="0.3">
      <c r="A77" s="2">
        <v>45383</v>
      </c>
      <c r="B77">
        <v>976256</v>
      </c>
      <c r="C77">
        <v>11106815.199999999</v>
      </c>
      <c r="D77" s="12">
        <f t="shared" si="8"/>
        <v>11.376949488658711</v>
      </c>
      <c r="E77" s="12">
        <f>AVERAGE(D72:D83)</f>
        <v>12.858631133886483</v>
      </c>
      <c r="F77" s="12">
        <f>AVERAGE(E77:E78)</f>
        <v>12.851615175046256</v>
      </c>
      <c r="G77" s="12">
        <f>+D77/F77</f>
        <v>0.88525444729695335</v>
      </c>
      <c r="H77" s="12">
        <f t="shared" si="7"/>
        <v>0.90864294592019912</v>
      </c>
      <c r="I77" s="12">
        <f>+D77/(F77*H77)</f>
        <v>0.97425996786938163</v>
      </c>
    </row>
    <row r="78" spans="1:9" x14ac:dyDescent="0.3">
      <c r="A78" s="2">
        <v>45413</v>
      </c>
      <c r="B78">
        <v>973570</v>
      </c>
      <c r="C78">
        <v>12646040.030000007</v>
      </c>
      <c r="D78" s="12">
        <f t="shared" si="8"/>
        <v>12.989348511149693</v>
      </c>
      <c r="E78" s="12">
        <f>AVERAGE(D73:D84)</f>
        <v>12.84459921620603</v>
      </c>
      <c r="F78" s="12"/>
      <c r="G78" s="12"/>
      <c r="H78" s="12">
        <f t="shared" si="7"/>
        <v>0.95032043190924498</v>
      </c>
      <c r="I78" s="12" t="e">
        <f>+D78/(F78*H78)</f>
        <v>#DIV/0!</v>
      </c>
    </row>
    <row r="79" spans="1:9" x14ac:dyDescent="0.3">
      <c r="A79" s="2">
        <v>45444</v>
      </c>
      <c r="B79">
        <v>980394</v>
      </c>
      <c r="C79">
        <v>14641018.050000001</v>
      </c>
      <c r="D79" s="12">
        <f t="shared" si="8"/>
        <v>14.93381033543657</v>
      </c>
      <c r="E79" s="12"/>
      <c r="F79" s="12"/>
      <c r="G79" s="12"/>
      <c r="H79" s="12">
        <f t="shared" si="7"/>
        <v>1.1422490851356175</v>
      </c>
      <c r="I79" s="12" t="e">
        <f>+D79/(F79*H79)</f>
        <v>#DIV/0!</v>
      </c>
    </row>
    <row r="80" spans="1:9" x14ac:dyDescent="0.3">
      <c r="A80" s="2">
        <v>45474</v>
      </c>
      <c r="B80">
        <v>1282205</v>
      </c>
      <c r="C80">
        <v>15593888.509999996</v>
      </c>
      <c r="D80" s="12">
        <f t="shared" si="8"/>
        <v>12.161774840996561</v>
      </c>
      <c r="E80" s="12"/>
      <c r="F80" s="12"/>
      <c r="G80" s="12"/>
      <c r="H80" s="12">
        <f t="shared" si="7"/>
        <v>1.1642698445074062</v>
      </c>
      <c r="I80" s="12"/>
    </row>
    <row r="81" spans="1:9" x14ac:dyDescent="0.3">
      <c r="A81" s="2">
        <v>45505</v>
      </c>
      <c r="B81">
        <v>997912</v>
      </c>
      <c r="C81">
        <v>16613702.979999995</v>
      </c>
      <c r="D81" s="12">
        <f t="shared" si="8"/>
        <v>16.648464974867519</v>
      </c>
      <c r="E81" s="12"/>
      <c r="F81" s="12"/>
      <c r="G81" s="12"/>
      <c r="H81" s="12">
        <f t="shared" si="7"/>
        <v>1.1654872148998114</v>
      </c>
      <c r="I81" s="12"/>
    </row>
    <row r="82" spans="1:9" x14ac:dyDescent="0.3">
      <c r="A82" s="2">
        <v>45536</v>
      </c>
      <c r="B82">
        <v>1008032</v>
      </c>
      <c r="C82">
        <v>16350156.840000011</v>
      </c>
      <c r="D82" s="12">
        <f t="shared" si="8"/>
        <v>16.219878773689736</v>
      </c>
      <c r="E82" s="12"/>
      <c r="F82" s="12"/>
      <c r="G82" s="12"/>
      <c r="H82" s="12">
        <f t="shared" si="7"/>
        <v>1.2013325247023252</v>
      </c>
      <c r="I82" s="12"/>
    </row>
    <row r="83" spans="1:9" x14ac:dyDescent="0.3">
      <c r="A83" s="2">
        <v>45566</v>
      </c>
      <c r="B83">
        <v>1019132</v>
      </c>
      <c r="C83">
        <v>14005515.050000006</v>
      </c>
      <c r="D83" s="12">
        <f t="shared" si="8"/>
        <v>13.742591783988734</v>
      </c>
      <c r="E83" s="12"/>
      <c r="F83" s="12"/>
      <c r="G83" s="12"/>
      <c r="H83" s="12">
        <f t="shared" si="7"/>
        <v>1.0567929840268442</v>
      </c>
      <c r="I83" s="12"/>
    </row>
    <row r="84" spans="1:9" x14ac:dyDescent="0.3">
      <c r="A84" s="2">
        <v>45597</v>
      </c>
      <c r="B84">
        <v>1023362</v>
      </c>
      <c r="C84">
        <v>14124433.440000001</v>
      </c>
      <c r="D84" s="12">
        <f t="shared" si="8"/>
        <v>13.801991318809963</v>
      </c>
      <c r="E84" s="12"/>
      <c r="F84" s="12"/>
      <c r="G84" s="12"/>
      <c r="H84" s="12">
        <f t="shared" si="7"/>
        <v>1.0295483749607743</v>
      </c>
      <c r="I84" s="12"/>
    </row>
    <row r="91" spans="1:9" x14ac:dyDescent="0.3">
      <c r="A91" s="2"/>
    </row>
    <row r="92" spans="1:9" x14ac:dyDescent="0.3">
      <c r="A92" s="2"/>
    </row>
    <row r="93" spans="1:9" x14ac:dyDescent="0.3">
      <c r="A93" s="2"/>
    </row>
    <row r="94" spans="1:9" x14ac:dyDescent="0.3">
      <c r="A94" s="2"/>
    </row>
    <row r="95" spans="1:9" x14ac:dyDescent="0.3">
      <c r="A95" s="2"/>
    </row>
    <row r="96" spans="1:9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380B-CB6D-47BF-BD67-68E599147322}">
  <dimension ref="A3:I168"/>
  <sheetViews>
    <sheetView workbookViewId="0">
      <selection activeCell="G6" sqref="G6"/>
    </sheetView>
  </sheetViews>
  <sheetFormatPr defaultRowHeight="14.4" x14ac:dyDescent="0.3"/>
  <cols>
    <col min="1" max="1" width="10.33203125" bestFit="1" customWidth="1"/>
    <col min="4" max="4" width="16" bestFit="1" customWidth="1"/>
    <col min="5" max="9" width="12.77734375" customWidth="1"/>
  </cols>
  <sheetData>
    <row r="3" spans="1:9" x14ac:dyDescent="0.3">
      <c r="E3" s="15"/>
      <c r="F3" s="15"/>
      <c r="H3" s="15"/>
    </row>
    <row r="4" spans="1:9" x14ac:dyDescent="0.3">
      <c r="E4" s="15"/>
      <c r="F4" s="15"/>
      <c r="H4" s="15"/>
    </row>
    <row r="5" spans="1:9" x14ac:dyDescent="0.3">
      <c r="F5" s="15" t="s">
        <v>80</v>
      </c>
      <c r="G5" s="15">
        <v>0.5</v>
      </c>
      <c r="H5" s="15"/>
    </row>
    <row r="6" spans="1:9" x14ac:dyDescent="0.3">
      <c r="A6" t="s">
        <v>11</v>
      </c>
      <c r="B6" t="s">
        <v>33</v>
      </c>
      <c r="C6" t="s">
        <v>49</v>
      </c>
      <c r="D6" t="s">
        <v>64</v>
      </c>
      <c r="E6" s="15" t="s">
        <v>65</v>
      </c>
      <c r="F6" s="15" t="s">
        <v>81</v>
      </c>
      <c r="G6" s="15" t="s">
        <v>79</v>
      </c>
      <c r="H6" s="15"/>
    </row>
    <row r="7" spans="1:9" x14ac:dyDescent="0.3">
      <c r="A7" s="2">
        <v>43252</v>
      </c>
      <c r="B7">
        <v>593175</v>
      </c>
      <c r="C7">
        <v>12389809.890000001</v>
      </c>
      <c r="D7" s="12">
        <f>+C7/B7</f>
        <v>20.887275913516248</v>
      </c>
      <c r="G7" s="12">
        <f>AVERAGE(D7:D84)</f>
        <v>16.165755150264971</v>
      </c>
      <c r="H7" s="12"/>
    </row>
    <row r="8" spans="1:9" x14ac:dyDescent="0.3">
      <c r="A8" s="2">
        <v>43282</v>
      </c>
      <c r="B8">
        <v>598866</v>
      </c>
      <c r="C8">
        <v>11966696.24</v>
      </c>
      <c r="D8" s="12">
        <f t="shared" ref="D8:D71" si="0">+C8/B8</f>
        <v>19.982260205121012</v>
      </c>
      <c r="F8" s="12">
        <f>+D7</f>
        <v>20.887275913516248</v>
      </c>
      <c r="G8" s="12">
        <f>+$G$5*D7+(1-$G$5)*G7</f>
        <v>18.52651553189061</v>
      </c>
    </row>
    <row r="9" spans="1:9" x14ac:dyDescent="0.3">
      <c r="A9" s="2">
        <v>43313</v>
      </c>
      <c r="B9">
        <v>599669</v>
      </c>
      <c r="C9">
        <v>12583762.490000006</v>
      </c>
      <c r="D9" s="12">
        <f t="shared" si="0"/>
        <v>20.984513940190347</v>
      </c>
      <c r="F9" s="12">
        <f t="shared" ref="F9:F72" si="1">+D8</f>
        <v>19.982260205121012</v>
      </c>
      <c r="G9" s="12">
        <f>+$G$5*D8+(1-$G$5)*G8</f>
        <v>19.254387868505809</v>
      </c>
    </row>
    <row r="10" spans="1:9" x14ac:dyDescent="0.3">
      <c r="A10" s="2">
        <v>43344</v>
      </c>
      <c r="B10">
        <v>639991</v>
      </c>
      <c r="C10">
        <v>13204783.679999996</v>
      </c>
      <c r="D10" s="12">
        <f t="shared" si="0"/>
        <v>20.632764648252859</v>
      </c>
      <c r="F10" s="12">
        <f t="shared" si="1"/>
        <v>20.984513940190347</v>
      </c>
      <c r="G10" s="12">
        <f>+$G$5*D9+(1-$G$5)*G9</f>
        <v>20.119450904348078</v>
      </c>
    </row>
    <row r="11" spans="1:9" x14ac:dyDescent="0.3">
      <c r="A11" s="2">
        <v>43374</v>
      </c>
      <c r="B11">
        <v>611396</v>
      </c>
      <c r="C11">
        <v>11707935.160000002</v>
      </c>
      <c r="D11" s="12">
        <f t="shared" si="0"/>
        <v>19.149512198313371</v>
      </c>
      <c r="F11" s="12">
        <f t="shared" si="1"/>
        <v>20.632764648252859</v>
      </c>
      <c r="G11" s="12">
        <f>+$G$5*D10+(1-$G$5)*G10</f>
        <v>20.376107776300469</v>
      </c>
    </row>
    <row r="12" spans="1:9" x14ac:dyDescent="0.3">
      <c r="A12" s="2">
        <v>43405</v>
      </c>
      <c r="B12">
        <v>616497</v>
      </c>
      <c r="C12">
        <v>11260542.779999997</v>
      </c>
      <c r="D12" s="12">
        <f t="shared" si="0"/>
        <v>18.265365086934725</v>
      </c>
      <c r="E12" s="12"/>
      <c r="F12" s="12">
        <f t="shared" si="1"/>
        <v>19.149512198313371</v>
      </c>
      <c r="G12" s="12">
        <f>+$G$5*D11+(1-$G$5)*G11</f>
        <v>19.76280998730692</v>
      </c>
      <c r="H12" s="12"/>
      <c r="I12" s="12"/>
    </row>
    <row r="13" spans="1:9" x14ac:dyDescent="0.3">
      <c r="A13" s="2">
        <v>43435</v>
      </c>
      <c r="B13">
        <v>606837</v>
      </c>
      <c r="C13">
        <v>10148304.540000003</v>
      </c>
      <c r="D13" s="12">
        <f t="shared" si="0"/>
        <v>16.723279134265056</v>
      </c>
      <c r="E13" s="12"/>
      <c r="F13" s="12">
        <f t="shared" si="1"/>
        <v>18.265365086934725</v>
      </c>
      <c r="G13" s="12">
        <f>+$G$5*D12+(1-$G$5)*G12</f>
        <v>19.014087537120822</v>
      </c>
      <c r="H13" s="12"/>
      <c r="I13" s="12"/>
    </row>
    <row r="14" spans="1:9" x14ac:dyDescent="0.3">
      <c r="A14" s="2">
        <v>43466</v>
      </c>
      <c r="B14">
        <v>582435</v>
      </c>
      <c r="C14">
        <v>8437863.2599999979</v>
      </c>
      <c r="D14" s="12">
        <f t="shared" si="0"/>
        <v>14.4872187626087</v>
      </c>
      <c r="E14" s="12"/>
      <c r="F14" s="12">
        <f t="shared" si="1"/>
        <v>16.723279134265056</v>
      </c>
      <c r="G14" s="12">
        <f>+$G$5*D13+(1-$G$5)*G13</f>
        <v>17.868683335692939</v>
      </c>
      <c r="H14" s="12"/>
      <c r="I14" s="12"/>
    </row>
    <row r="15" spans="1:9" x14ac:dyDescent="0.3">
      <c r="A15" s="2">
        <v>43497</v>
      </c>
      <c r="B15">
        <v>641584</v>
      </c>
      <c r="C15">
        <v>7818537.4700000025</v>
      </c>
      <c r="D15" s="12">
        <f t="shared" si="0"/>
        <v>12.186303695229311</v>
      </c>
      <c r="E15" s="12"/>
      <c r="F15" s="12">
        <f t="shared" si="1"/>
        <v>14.4872187626087</v>
      </c>
      <c r="G15" s="12">
        <f>+$G$5*D14+(1-$G$5)*G14</f>
        <v>16.17795104915082</v>
      </c>
      <c r="H15" s="12"/>
      <c r="I15" s="12"/>
    </row>
    <row r="16" spans="1:9" x14ac:dyDescent="0.3">
      <c r="A16" s="2">
        <v>43525</v>
      </c>
      <c r="B16">
        <v>641980</v>
      </c>
      <c r="C16">
        <v>9274163.7600000072</v>
      </c>
      <c r="D16" s="12">
        <f t="shared" si="0"/>
        <v>14.446187980933997</v>
      </c>
      <c r="E16" s="12"/>
      <c r="F16" s="12">
        <f t="shared" si="1"/>
        <v>12.186303695229311</v>
      </c>
      <c r="G16" s="12">
        <f>+$G$5*D15+(1-$G$5)*G15</f>
        <v>14.182127372190067</v>
      </c>
      <c r="H16" s="12"/>
      <c r="I16" s="12"/>
    </row>
    <row r="17" spans="1:9" x14ac:dyDescent="0.3">
      <c r="A17" s="2">
        <v>43556</v>
      </c>
      <c r="B17">
        <v>656726</v>
      </c>
      <c r="C17">
        <v>11384551.870000005</v>
      </c>
      <c r="D17" s="12">
        <f t="shared" si="0"/>
        <v>17.335314682226688</v>
      </c>
      <c r="E17" s="12"/>
      <c r="F17" s="12">
        <f t="shared" si="1"/>
        <v>14.446187980933997</v>
      </c>
      <c r="G17" s="12">
        <f>+$G$5*D16+(1-$G$5)*G16</f>
        <v>14.314157676562033</v>
      </c>
      <c r="H17" s="12"/>
      <c r="I17" s="12"/>
    </row>
    <row r="18" spans="1:9" x14ac:dyDescent="0.3">
      <c r="A18" s="2">
        <v>43586</v>
      </c>
      <c r="B18">
        <v>643150</v>
      </c>
      <c r="C18">
        <v>8290716.5500000017</v>
      </c>
      <c r="D18" s="12">
        <f t="shared" si="0"/>
        <v>12.890797714374566</v>
      </c>
      <c r="E18" s="12">
        <f>AVERAGE(D7:D18)</f>
        <v>17.330899496830572</v>
      </c>
      <c r="F18" s="12">
        <f t="shared" si="1"/>
        <v>17.335314682226688</v>
      </c>
      <c r="G18" s="12">
        <f>+$G$5*D17+(1-$G$5)*G17</f>
        <v>15.82473617939436</v>
      </c>
      <c r="H18" s="12"/>
      <c r="I18" s="12"/>
    </row>
    <row r="19" spans="1:9" x14ac:dyDescent="0.3">
      <c r="A19" s="2">
        <v>43617</v>
      </c>
      <c r="B19">
        <v>610612</v>
      </c>
      <c r="C19">
        <v>10950699.750000002</v>
      </c>
      <c r="D19" s="12">
        <f t="shared" si="0"/>
        <v>17.933974029334507</v>
      </c>
      <c r="E19" s="12">
        <f t="shared" ref="E19:E82" si="2">AVERAGE(D8:D19)</f>
        <v>17.084791006482092</v>
      </c>
      <c r="F19" s="12">
        <f t="shared" si="1"/>
        <v>12.890797714374566</v>
      </c>
      <c r="G19" s="12">
        <f>+$G$5*D18+(1-$G$5)*G18</f>
        <v>14.357766946884464</v>
      </c>
      <c r="H19" s="12"/>
      <c r="I19" s="12"/>
    </row>
    <row r="20" spans="1:9" x14ac:dyDescent="0.3">
      <c r="A20" s="2">
        <v>43647</v>
      </c>
      <c r="B20">
        <v>689795</v>
      </c>
      <c r="C20">
        <v>13536361.820000004</v>
      </c>
      <c r="D20" s="12">
        <f t="shared" si="0"/>
        <v>19.623745924513809</v>
      </c>
      <c r="E20" s="12">
        <f t="shared" si="2"/>
        <v>17.054914816431495</v>
      </c>
      <c r="F20" s="12">
        <f t="shared" si="1"/>
        <v>17.933974029334507</v>
      </c>
      <c r="G20" s="12">
        <f>+$G$5*D19+(1-$G$5)*G19</f>
        <v>16.145870488109487</v>
      </c>
      <c r="H20" s="12"/>
      <c r="I20" s="12"/>
    </row>
    <row r="21" spans="1:9" x14ac:dyDescent="0.3">
      <c r="A21" s="2">
        <v>43678</v>
      </c>
      <c r="B21">
        <v>675487</v>
      </c>
      <c r="C21">
        <v>13753001.059999995</v>
      </c>
      <c r="D21" s="12">
        <f t="shared" si="0"/>
        <v>20.360126930644107</v>
      </c>
      <c r="E21" s="12">
        <f t="shared" si="2"/>
        <v>17.002882565635975</v>
      </c>
      <c r="F21" s="12">
        <f t="shared" si="1"/>
        <v>19.623745924513809</v>
      </c>
      <c r="G21" s="12">
        <f>+$G$5*D20+(1-$G$5)*G20</f>
        <v>17.884808206311646</v>
      </c>
      <c r="H21" s="12"/>
      <c r="I21" s="12"/>
    </row>
    <row r="22" spans="1:9" x14ac:dyDescent="0.3">
      <c r="A22" s="2">
        <v>43709</v>
      </c>
      <c r="B22">
        <v>657797</v>
      </c>
      <c r="C22">
        <v>13966509.039999999</v>
      </c>
      <c r="D22" s="12">
        <f t="shared" si="0"/>
        <v>21.232248003563409</v>
      </c>
      <c r="E22" s="12">
        <f t="shared" si="2"/>
        <v>17.052839511911852</v>
      </c>
      <c r="F22" s="12">
        <f t="shared" si="1"/>
        <v>20.360126930644107</v>
      </c>
      <c r="G22" s="12">
        <f>+$G$5*D21+(1-$G$5)*G21</f>
        <v>19.122467568477877</v>
      </c>
      <c r="H22" s="12"/>
      <c r="I22" s="12"/>
    </row>
    <row r="23" spans="1:9" x14ac:dyDescent="0.3">
      <c r="A23" s="2">
        <v>43739</v>
      </c>
      <c r="B23">
        <v>655788</v>
      </c>
      <c r="C23">
        <v>12056363.099999994</v>
      </c>
      <c r="D23" s="12">
        <f t="shared" si="0"/>
        <v>18.384543633003339</v>
      </c>
      <c r="E23" s="12">
        <f t="shared" si="2"/>
        <v>16.989092131469349</v>
      </c>
      <c r="F23" s="12">
        <f t="shared" si="1"/>
        <v>21.232248003563409</v>
      </c>
      <c r="G23" s="12">
        <f>+$G$5*D22+(1-$G$5)*G22</f>
        <v>20.177357786020643</v>
      </c>
      <c r="H23" s="12"/>
      <c r="I23" s="12"/>
    </row>
    <row r="24" spans="1:9" x14ac:dyDescent="0.3">
      <c r="A24" s="2">
        <v>43770</v>
      </c>
      <c r="B24">
        <v>660668</v>
      </c>
      <c r="C24">
        <v>10583416.950000003</v>
      </c>
      <c r="D24" s="12">
        <f t="shared" si="0"/>
        <v>16.019266787554418</v>
      </c>
      <c r="E24" s="12">
        <f t="shared" si="2"/>
        <v>16.801917273187659</v>
      </c>
      <c r="F24" s="12">
        <f t="shared" si="1"/>
        <v>18.384543633003339</v>
      </c>
      <c r="G24" s="12">
        <f>+$G$5*D23+(1-$G$5)*G23</f>
        <v>19.280950709511991</v>
      </c>
      <c r="H24" s="12"/>
      <c r="I24" s="12"/>
    </row>
    <row r="25" spans="1:9" x14ac:dyDescent="0.3">
      <c r="A25" s="2">
        <v>43800</v>
      </c>
      <c r="B25">
        <v>659715</v>
      </c>
      <c r="C25">
        <v>11620419.91</v>
      </c>
      <c r="D25" s="12">
        <f t="shared" si="0"/>
        <v>17.614303009632948</v>
      </c>
      <c r="E25" s="12">
        <f t="shared" si="2"/>
        <v>16.87616926280165</v>
      </c>
      <c r="F25" s="12">
        <f t="shared" si="1"/>
        <v>16.019266787554418</v>
      </c>
      <c r="G25" s="12">
        <f>+$G$5*D24+(1-$G$5)*G24</f>
        <v>17.650108748533206</v>
      </c>
      <c r="H25" s="12"/>
      <c r="I25" s="12"/>
    </row>
    <row r="26" spans="1:9" x14ac:dyDescent="0.3">
      <c r="A26" s="2">
        <v>43831</v>
      </c>
      <c r="B26">
        <v>669491</v>
      </c>
      <c r="C26">
        <v>10331433.470000001</v>
      </c>
      <c r="D26" s="12">
        <f t="shared" si="0"/>
        <v>15.431773496581732</v>
      </c>
      <c r="E26" s="12">
        <f t="shared" si="2"/>
        <v>16.954882157299405</v>
      </c>
      <c r="F26" s="12">
        <f t="shared" si="1"/>
        <v>17.614303009632948</v>
      </c>
      <c r="G26" s="12">
        <f>+$G$5*D25+(1-$G$5)*G25</f>
        <v>17.632205879083077</v>
      </c>
      <c r="H26" s="12"/>
      <c r="I26" s="12"/>
    </row>
    <row r="27" spans="1:9" x14ac:dyDescent="0.3">
      <c r="A27" s="2">
        <v>43862</v>
      </c>
      <c r="B27">
        <v>673848</v>
      </c>
      <c r="C27">
        <v>8652740.4600000065</v>
      </c>
      <c r="D27" s="12">
        <f t="shared" si="0"/>
        <v>12.840789703315892</v>
      </c>
      <c r="E27" s="12">
        <f t="shared" si="2"/>
        <v>17.009422657973285</v>
      </c>
      <c r="F27" s="12">
        <f t="shared" si="1"/>
        <v>15.431773496581732</v>
      </c>
      <c r="G27" s="12">
        <f>+$G$5*D26+(1-$G$5)*G26</f>
        <v>16.531989687832404</v>
      </c>
      <c r="H27" s="12"/>
      <c r="I27" s="12"/>
    </row>
    <row r="28" spans="1:9" x14ac:dyDescent="0.3">
      <c r="A28" s="2">
        <v>43891</v>
      </c>
      <c r="B28">
        <v>663199</v>
      </c>
      <c r="C28">
        <v>10839464.360000007</v>
      </c>
      <c r="D28" s="12">
        <f t="shared" si="0"/>
        <v>16.344210953273461</v>
      </c>
      <c r="E28" s="12">
        <f t="shared" si="2"/>
        <v>17.167591239001574</v>
      </c>
      <c r="F28" s="12">
        <f t="shared" si="1"/>
        <v>12.840789703315892</v>
      </c>
      <c r="G28" s="12">
        <f>+$G$5*D27+(1-$G$5)*G27</f>
        <v>14.686389695574148</v>
      </c>
      <c r="H28" s="12"/>
      <c r="I28" s="12"/>
    </row>
    <row r="29" spans="1:9" x14ac:dyDescent="0.3">
      <c r="A29" s="2">
        <v>43922</v>
      </c>
      <c r="B29">
        <v>670764</v>
      </c>
      <c r="C29">
        <v>10730760.640000001</v>
      </c>
      <c r="D29" s="12">
        <f t="shared" si="0"/>
        <v>15.997818368308378</v>
      </c>
      <c r="E29" s="12">
        <f t="shared" si="2"/>
        <v>17.056133212841711</v>
      </c>
      <c r="F29" s="12">
        <f t="shared" si="1"/>
        <v>16.344210953273461</v>
      </c>
      <c r="G29" s="12">
        <f>+$G$5*D28+(1-$G$5)*G28</f>
        <v>15.515300324423805</v>
      </c>
      <c r="H29" s="12"/>
      <c r="I29" s="12"/>
    </row>
    <row r="30" spans="1:9" x14ac:dyDescent="0.3">
      <c r="A30" s="2">
        <v>43952</v>
      </c>
      <c r="B30">
        <v>693781</v>
      </c>
      <c r="C30">
        <v>11806951.229999995</v>
      </c>
      <c r="D30" s="12">
        <f t="shared" si="0"/>
        <v>17.018268344045161</v>
      </c>
      <c r="E30" s="12">
        <f t="shared" si="2"/>
        <v>17.400089098647598</v>
      </c>
      <c r="F30" s="12">
        <f t="shared" si="1"/>
        <v>15.997818368308378</v>
      </c>
      <c r="G30" s="12">
        <f>+$G$5*D29+(1-$G$5)*G29</f>
        <v>15.756559346366092</v>
      </c>
      <c r="H30" s="12"/>
      <c r="I30" s="12"/>
    </row>
    <row r="31" spans="1:9" x14ac:dyDescent="0.3">
      <c r="A31" s="2">
        <v>43983</v>
      </c>
      <c r="B31">
        <v>687954</v>
      </c>
      <c r="C31">
        <v>13239228.930000005</v>
      </c>
      <c r="D31" s="12">
        <f t="shared" si="0"/>
        <v>19.244351991557583</v>
      </c>
      <c r="E31" s="12">
        <f t="shared" si="2"/>
        <v>17.509287262166186</v>
      </c>
      <c r="F31" s="12">
        <f t="shared" si="1"/>
        <v>17.018268344045161</v>
      </c>
      <c r="G31" s="12">
        <f>+$G$5*D30+(1-$G$5)*G30</f>
        <v>16.387413845205629</v>
      </c>
      <c r="H31" s="12"/>
      <c r="I31" s="12"/>
    </row>
    <row r="32" spans="1:9" x14ac:dyDescent="0.3">
      <c r="A32" s="2">
        <v>44013</v>
      </c>
      <c r="B32">
        <v>684640</v>
      </c>
      <c r="C32">
        <v>13085762.189999996</v>
      </c>
      <c r="D32" s="12">
        <f t="shared" si="0"/>
        <v>19.113347438069635</v>
      </c>
      <c r="E32" s="12">
        <f t="shared" si="2"/>
        <v>17.466754054962504</v>
      </c>
      <c r="F32" s="12">
        <f t="shared" si="1"/>
        <v>19.244351991557583</v>
      </c>
      <c r="G32" s="12">
        <f>+$G$5*D31+(1-$G$5)*G31</f>
        <v>17.815882918381604</v>
      </c>
      <c r="H32" s="12"/>
      <c r="I32" s="12"/>
    </row>
    <row r="33" spans="1:9" x14ac:dyDescent="0.3">
      <c r="A33" s="2">
        <v>44044</v>
      </c>
      <c r="B33">
        <v>722037</v>
      </c>
      <c r="C33">
        <v>13752769.950000001</v>
      </c>
      <c r="D33" s="12">
        <f t="shared" si="0"/>
        <v>19.047181723374287</v>
      </c>
      <c r="E33" s="12">
        <f t="shared" si="2"/>
        <v>17.357341954356688</v>
      </c>
      <c r="F33" s="12">
        <f t="shared" si="1"/>
        <v>19.113347438069635</v>
      </c>
      <c r="G33" s="12">
        <f>+$G$5*D32+(1-$G$5)*G32</f>
        <v>18.464615178225621</v>
      </c>
      <c r="H33" s="12"/>
      <c r="I33" s="12"/>
    </row>
    <row r="34" spans="1:9" x14ac:dyDescent="0.3">
      <c r="A34" s="2">
        <v>44075</v>
      </c>
      <c r="B34">
        <v>696694</v>
      </c>
      <c r="C34">
        <v>13783462.879999995</v>
      </c>
      <c r="D34" s="12">
        <f t="shared" si="0"/>
        <v>19.784098729140762</v>
      </c>
      <c r="E34" s="12">
        <f t="shared" si="2"/>
        <v>17.236662848154797</v>
      </c>
      <c r="F34" s="12">
        <f t="shared" si="1"/>
        <v>19.047181723374287</v>
      </c>
      <c r="G34" s="12">
        <f>+$G$5*D33+(1-$G$5)*G33</f>
        <v>18.755898450799954</v>
      </c>
      <c r="H34" s="12"/>
      <c r="I34" s="12"/>
    </row>
    <row r="35" spans="1:9" x14ac:dyDescent="0.3">
      <c r="A35" s="2">
        <v>44105</v>
      </c>
      <c r="B35">
        <v>700736</v>
      </c>
      <c r="C35">
        <v>11526998.709999999</v>
      </c>
      <c r="D35" s="12">
        <f t="shared" si="0"/>
        <v>16.449845177070966</v>
      </c>
      <c r="E35" s="12">
        <f t="shared" si="2"/>
        <v>17.0754379768271</v>
      </c>
      <c r="F35" s="12">
        <f t="shared" si="1"/>
        <v>19.784098729140762</v>
      </c>
      <c r="G35" s="12">
        <f>+$G$5*D34+(1-$G$5)*G34</f>
        <v>19.269998589970356</v>
      </c>
      <c r="H35" s="12"/>
      <c r="I35" s="12"/>
    </row>
    <row r="36" spans="1:9" x14ac:dyDescent="0.3">
      <c r="A36" s="2">
        <v>44136</v>
      </c>
      <c r="B36">
        <v>703051</v>
      </c>
      <c r="C36">
        <v>12630442.1</v>
      </c>
      <c r="D36" s="12">
        <f t="shared" si="0"/>
        <v>17.965186167148612</v>
      </c>
      <c r="E36" s="12">
        <f t="shared" si="2"/>
        <v>17.237597925126618</v>
      </c>
      <c r="F36" s="12">
        <f t="shared" si="1"/>
        <v>16.449845177070966</v>
      </c>
      <c r="G36" s="12">
        <f>+$G$5*D35+(1-$G$5)*G35</f>
        <v>17.859921883520663</v>
      </c>
      <c r="H36" s="12"/>
      <c r="I36" s="12"/>
    </row>
    <row r="37" spans="1:9" x14ac:dyDescent="0.3">
      <c r="A37" s="2">
        <v>44166</v>
      </c>
      <c r="B37">
        <v>705005</v>
      </c>
      <c r="C37">
        <v>10761151.799999997</v>
      </c>
      <c r="D37" s="12">
        <f t="shared" si="0"/>
        <v>15.263936851511687</v>
      </c>
      <c r="E37" s="12">
        <f t="shared" si="2"/>
        <v>17.041734078616511</v>
      </c>
      <c r="F37" s="12">
        <f t="shared" si="1"/>
        <v>17.965186167148612</v>
      </c>
      <c r="G37" s="12">
        <f>+$G$5*D36+(1-$G$5)*G36</f>
        <v>17.912554025334636</v>
      </c>
      <c r="H37" s="12"/>
      <c r="I37" s="12"/>
    </row>
    <row r="38" spans="1:9" x14ac:dyDescent="0.3">
      <c r="A38" s="2">
        <v>44197</v>
      </c>
      <c r="B38">
        <v>711621</v>
      </c>
      <c r="C38">
        <v>10168091.349999994</v>
      </c>
      <c r="D38" s="12">
        <f t="shared" si="0"/>
        <v>14.288633064510455</v>
      </c>
      <c r="E38" s="12">
        <f t="shared" si="2"/>
        <v>16.946472375943905</v>
      </c>
      <c r="F38" s="12">
        <f t="shared" si="1"/>
        <v>15.263936851511687</v>
      </c>
      <c r="G38" s="12">
        <f>+$G$5*D37+(1-$G$5)*G37</f>
        <v>16.588245438423161</v>
      </c>
      <c r="H38" s="12"/>
      <c r="I38" s="12"/>
    </row>
    <row r="39" spans="1:9" x14ac:dyDescent="0.3">
      <c r="A39" s="2">
        <v>44228</v>
      </c>
      <c r="B39">
        <v>711572</v>
      </c>
      <c r="C39">
        <v>9102770.4399999864</v>
      </c>
      <c r="D39" s="12">
        <f t="shared" si="0"/>
        <v>12.792479805276185</v>
      </c>
      <c r="E39" s="12">
        <f t="shared" si="2"/>
        <v>16.942446551107263</v>
      </c>
      <c r="F39" s="12">
        <f t="shared" si="1"/>
        <v>14.288633064510455</v>
      </c>
      <c r="G39" s="12">
        <f>+$G$5*D38+(1-$G$5)*G38</f>
        <v>15.438439251466807</v>
      </c>
      <c r="H39" s="12"/>
      <c r="I39" s="12"/>
    </row>
    <row r="40" spans="1:9" x14ac:dyDescent="0.3">
      <c r="A40" s="2">
        <v>44256</v>
      </c>
      <c r="B40">
        <v>715216</v>
      </c>
      <c r="C40">
        <v>9547056.8400000054</v>
      </c>
      <c r="D40" s="12">
        <f t="shared" si="0"/>
        <v>13.348494496767417</v>
      </c>
      <c r="E40" s="12">
        <f t="shared" si="2"/>
        <v>16.692803513065094</v>
      </c>
      <c r="F40" s="12">
        <f t="shared" si="1"/>
        <v>12.792479805276185</v>
      </c>
      <c r="G40" s="12">
        <f>+$G$5*D39+(1-$G$5)*G39</f>
        <v>14.115459528371495</v>
      </c>
      <c r="H40" s="12"/>
      <c r="I40" s="12"/>
    </row>
    <row r="41" spans="1:9" x14ac:dyDescent="0.3">
      <c r="A41" s="2">
        <v>44287</v>
      </c>
      <c r="B41">
        <v>719979</v>
      </c>
      <c r="C41">
        <v>10818849.419999991</v>
      </c>
      <c r="D41" s="12">
        <f t="shared" si="0"/>
        <v>15.026618026359088</v>
      </c>
      <c r="E41" s="12">
        <f t="shared" si="2"/>
        <v>16.611870151235987</v>
      </c>
      <c r="F41" s="12">
        <f t="shared" si="1"/>
        <v>13.348494496767417</v>
      </c>
      <c r="G41" s="12">
        <f>+$G$5*D40+(1-$G$5)*G40</f>
        <v>13.731977012569455</v>
      </c>
      <c r="H41" s="12"/>
      <c r="I41" s="12"/>
    </row>
    <row r="42" spans="1:9" x14ac:dyDescent="0.3">
      <c r="A42" s="2">
        <v>44317</v>
      </c>
      <c r="B42">
        <v>728984</v>
      </c>
      <c r="C42">
        <v>12761227.739999993</v>
      </c>
      <c r="D42" s="12">
        <f t="shared" si="0"/>
        <v>17.505497706396838</v>
      </c>
      <c r="E42" s="12">
        <f t="shared" si="2"/>
        <v>16.652472598098626</v>
      </c>
      <c r="F42" s="12">
        <f t="shared" si="1"/>
        <v>15.026618026359088</v>
      </c>
      <c r="G42" s="12">
        <f>+$G$5*D41+(1-$G$5)*G41</f>
        <v>14.379297519464272</v>
      </c>
      <c r="H42" s="12"/>
      <c r="I42" s="12"/>
    </row>
    <row r="43" spans="1:9" x14ac:dyDescent="0.3">
      <c r="A43" s="2">
        <v>44348</v>
      </c>
      <c r="B43">
        <v>726546</v>
      </c>
      <c r="C43">
        <v>14820543.179999998</v>
      </c>
      <c r="D43" s="12">
        <f t="shared" si="0"/>
        <v>20.398630203731074</v>
      </c>
      <c r="E43" s="12">
        <f t="shared" si="2"/>
        <v>16.748662449113088</v>
      </c>
      <c r="F43" s="12">
        <f t="shared" si="1"/>
        <v>17.505497706396838</v>
      </c>
      <c r="G43" s="12">
        <f>+$G$5*D42+(1-$G$5)*G42</f>
        <v>15.942397612930556</v>
      </c>
      <c r="H43" s="12"/>
      <c r="I43" s="12"/>
    </row>
    <row r="44" spans="1:9" x14ac:dyDescent="0.3">
      <c r="A44" s="2">
        <v>44378</v>
      </c>
      <c r="B44">
        <v>740826</v>
      </c>
      <c r="C44">
        <v>14601283.819999991</v>
      </c>
      <c r="D44" s="12">
        <f t="shared" si="0"/>
        <v>19.709464597624802</v>
      </c>
      <c r="E44" s="12">
        <f t="shared" si="2"/>
        <v>16.798338879076017</v>
      </c>
      <c r="F44" s="12">
        <f t="shared" si="1"/>
        <v>20.398630203731074</v>
      </c>
      <c r="G44" s="12">
        <f>+$G$5*D43+(1-$G$5)*G43</f>
        <v>18.170513908330815</v>
      </c>
      <c r="H44" s="12"/>
      <c r="I44" s="12"/>
    </row>
    <row r="45" spans="1:9" x14ac:dyDescent="0.3">
      <c r="A45" s="2">
        <v>44409</v>
      </c>
      <c r="B45">
        <v>746743</v>
      </c>
      <c r="C45">
        <v>15659124.999999996</v>
      </c>
      <c r="D45" s="12">
        <f t="shared" si="0"/>
        <v>20.969898613043572</v>
      </c>
      <c r="E45" s="12">
        <f t="shared" si="2"/>
        <v>16.958565286548456</v>
      </c>
      <c r="F45" s="12">
        <f t="shared" si="1"/>
        <v>19.709464597624802</v>
      </c>
      <c r="G45" s="12">
        <f>+$G$5*D44+(1-$G$5)*G44</f>
        <v>18.93998925297781</v>
      </c>
      <c r="H45" s="12"/>
      <c r="I45" s="12"/>
    </row>
    <row r="46" spans="1:9" x14ac:dyDescent="0.3">
      <c r="A46" s="2">
        <v>44440</v>
      </c>
      <c r="B46">
        <v>748939</v>
      </c>
      <c r="C46">
        <v>14223061.890000002</v>
      </c>
      <c r="D46" s="12">
        <f t="shared" si="0"/>
        <v>18.990948381643904</v>
      </c>
      <c r="E46" s="12">
        <f t="shared" si="2"/>
        <v>16.892469424257047</v>
      </c>
      <c r="F46" s="12">
        <f t="shared" si="1"/>
        <v>20.969898613043572</v>
      </c>
      <c r="G46" s="12">
        <f>+$G$5*D45+(1-$G$5)*G45</f>
        <v>19.954943933010689</v>
      </c>
      <c r="H46" s="12"/>
      <c r="I46" s="12"/>
    </row>
    <row r="47" spans="1:9" x14ac:dyDescent="0.3">
      <c r="A47" s="2">
        <v>44470</v>
      </c>
      <c r="B47">
        <v>752394</v>
      </c>
      <c r="C47">
        <v>13118601.490000013</v>
      </c>
      <c r="D47" s="12">
        <f t="shared" si="0"/>
        <v>17.435813536524766</v>
      </c>
      <c r="E47" s="12">
        <f t="shared" si="2"/>
        <v>16.974633454211535</v>
      </c>
      <c r="F47" s="12">
        <f t="shared" si="1"/>
        <v>18.990948381643904</v>
      </c>
      <c r="G47" s="12">
        <f>+$G$5*D46+(1-$G$5)*G46</f>
        <v>19.472946157327296</v>
      </c>
      <c r="H47" s="12"/>
      <c r="I47" s="12"/>
    </row>
    <row r="48" spans="1:9" x14ac:dyDescent="0.3">
      <c r="A48" s="2">
        <v>44501</v>
      </c>
      <c r="B48">
        <v>754270</v>
      </c>
      <c r="C48">
        <v>13486290.880000001</v>
      </c>
      <c r="D48" s="12">
        <f t="shared" si="0"/>
        <v>17.87992480146367</v>
      </c>
      <c r="E48" s="12">
        <f t="shared" si="2"/>
        <v>16.967528340404453</v>
      </c>
      <c r="F48" s="12">
        <f t="shared" si="1"/>
        <v>17.435813536524766</v>
      </c>
      <c r="G48" s="12">
        <f>+$G$5*D47+(1-$G$5)*G47</f>
        <v>18.454379846926031</v>
      </c>
      <c r="H48" s="12"/>
      <c r="I48" s="12"/>
    </row>
    <row r="49" spans="1:9" x14ac:dyDescent="0.3">
      <c r="A49" s="2">
        <v>44531</v>
      </c>
      <c r="B49">
        <v>759005</v>
      </c>
      <c r="C49">
        <v>11720832.580000002</v>
      </c>
      <c r="D49" s="12">
        <f t="shared" si="0"/>
        <v>15.442365438962856</v>
      </c>
      <c r="E49" s="12">
        <f t="shared" si="2"/>
        <v>16.98239738935872</v>
      </c>
      <c r="F49" s="12">
        <f t="shared" si="1"/>
        <v>17.87992480146367</v>
      </c>
      <c r="G49" s="12">
        <f>+$G$5*D48+(1-$G$5)*G48</f>
        <v>18.167152324194852</v>
      </c>
      <c r="H49" s="12"/>
      <c r="I49" s="12"/>
    </row>
    <row r="50" spans="1:9" x14ac:dyDescent="0.3">
      <c r="A50" s="2">
        <v>44562</v>
      </c>
      <c r="B50">
        <v>760906</v>
      </c>
      <c r="C50">
        <v>11175892.979999986</v>
      </c>
      <c r="D50" s="12">
        <f t="shared" si="0"/>
        <v>14.687613161152607</v>
      </c>
      <c r="E50" s="12">
        <f t="shared" si="2"/>
        <v>17.015645730745565</v>
      </c>
      <c r="F50" s="12">
        <f t="shared" si="1"/>
        <v>15.442365438962856</v>
      </c>
      <c r="G50" s="12">
        <f>+$G$5*D49+(1-$G$5)*G49</f>
        <v>16.804758881578856</v>
      </c>
      <c r="H50" s="12"/>
      <c r="I50" s="12"/>
    </row>
    <row r="51" spans="1:9" x14ac:dyDescent="0.3">
      <c r="A51" s="2">
        <v>44593</v>
      </c>
      <c r="B51">
        <v>774433</v>
      </c>
      <c r="C51">
        <v>10147214.809999995</v>
      </c>
      <c r="D51" s="12">
        <f t="shared" si="0"/>
        <v>13.102766553078181</v>
      </c>
      <c r="E51" s="12">
        <f t="shared" si="2"/>
        <v>17.041502959729062</v>
      </c>
      <c r="F51" s="12">
        <f t="shared" si="1"/>
        <v>14.687613161152607</v>
      </c>
      <c r="G51" s="12">
        <f>+$G$5*D50+(1-$G$5)*G50</f>
        <v>15.74618602136573</v>
      </c>
      <c r="H51" s="12"/>
      <c r="I51" s="12"/>
    </row>
    <row r="52" spans="1:9" x14ac:dyDescent="0.3">
      <c r="A52" s="2">
        <v>44621</v>
      </c>
      <c r="B52">
        <v>824899</v>
      </c>
      <c r="C52">
        <v>9874317.0999999996</v>
      </c>
      <c r="D52" s="12">
        <f t="shared" si="0"/>
        <v>11.970334671274907</v>
      </c>
      <c r="E52" s="12">
        <f t="shared" si="2"/>
        <v>16.926656307604688</v>
      </c>
      <c r="F52" s="12">
        <f t="shared" si="1"/>
        <v>13.102766553078181</v>
      </c>
      <c r="G52" s="12">
        <f>+$G$5*D51+(1-$G$5)*G51</f>
        <v>14.424476287221957</v>
      </c>
      <c r="H52" s="12"/>
      <c r="I52" s="12"/>
    </row>
    <row r="53" spans="1:9" x14ac:dyDescent="0.3">
      <c r="A53" s="2">
        <v>44652</v>
      </c>
      <c r="B53">
        <v>792299</v>
      </c>
      <c r="C53">
        <v>11093517.710000008</v>
      </c>
      <c r="D53" s="12">
        <f t="shared" si="0"/>
        <v>14.001680817469174</v>
      </c>
      <c r="E53" s="12">
        <f t="shared" si="2"/>
        <v>16.841244873530528</v>
      </c>
      <c r="F53" s="12">
        <f t="shared" si="1"/>
        <v>11.970334671274907</v>
      </c>
      <c r="G53" s="12">
        <f>+$G$5*D52+(1-$G$5)*G52</f>
        <v>13.197405479248431</v>
      </c>
      <c r="H53" s="12"/>
      <c r="I53" s="12"/>
    </row>
    <row r="54" spans="1:9" x14ac:dyDescent="0.3">
      <c r="A54" s="2">
        <v>44682</v>
      </c>
      <c r="B54">
        <v>800486</v>
      </c>
      <c r="C54">
        <v>13027386.189999998</v>
      </c>
      <c r="D54" s="12">
        <f t="shared" si="0"/>
        <v>16.2743460722611</v>
      </c>
      <c r="E54" s="12">
        <f t="shared" si="2"/>
        <v>16.738648904019218</v>
      </c>
      <c r="F54" s="12">
        <f t="shared" si="1"/>
        <v>14.001680817469174</v>
      </c>
      <c r="G54" s="12">
        <f>+$G$5*D53+(1-$G$5)*G53</f>
        <v>13.599543148358801</v>
      </c>
      <c r="H54" s="12"/>
      <c r="I54" s="12"/>
    </row>
    <row r="55" spans="1:9" x14ac:dyDescent="0.3">
      <c r="A55" s="2">
        <v>44713</v>
      </c>
      <c r="B55">
        <v>803147</v>
      </c>
      <c r="C55">
        <v>15110406.249999996</v>
      </c>
      <c r="D55" s="12">
        <f t="shared" si="0"/>
        <v>18.813998246896269</v>
      </c>
      <c r="E55" s="12">
        <f t="shared" si="2"/>
        <v>16.606596240949649</v>
      </c>
      <c r="F55" s="12">
        <f t="shared" si="1"/>
        <v>16.2743460722611</v>
      </c>
      <c r="G55" s="12">
        <f>+$G$5*D54+(1-$G$5)*G54</f>
        <v>14.936944610309951</v>
      </c>
      <c r="H55" s="12"/>
      <c r="I55" s="12"/>
    </row>
    <row r="56" spans="1:9" x14ac:dyDescent="0.3">
      <c r="A56" s="2">
        <v>44743</v>
      </c>
      <c r="B56">
        <v>813868</v>
      </c>
      <c r="C56">
        <v>15079339.329999994</v>
      </c>
      <c r="D56" s="12">
        <f t="shared" si="0"/>
        <v>18.527991431042864</v>
      </c>
      <c r="E56" s="12">
        <f t="shared" si="2"/>
        <v>16.50814014373449</v>
      </c>
      <c r="F56" s="12">
        <f t="shared" si="1"/>
        <v>18.813998246896269</v>
      </c>
      <c r="G56" s="12">
        <f>+$G$5*D55+(1-$G$5)*G55</f>
        <v>16.87547142860311</v>
      </c>
      <c r="H56" s="12"/>
      <c r="I56" s="12"/>
    </row>
    <row r="57" spans="1:9" x14ac:dyDescent="0.3">
      <c r="A57" s="2">
        <v>44774</v>
      </c>
      <c r="B57">
        <v>815226</v>
      </c>
      <c r="C57">
        <v>14553768.43</v>
      </c>
      <c r="D57" s="12">
        <f t="shared" si="0"/>
        <v>17.85243408576272</v>
      </c>
      <c r="E57" s="12">
        <f t="shared" si="2"/>
        <v>16.248351433127752</v>
      </c>
      <c r="F57" s="12">
        <f t="shared" si="1"/>
        <v>18.527991431042864</v>
      </c>
      <c r="G57" s="12">
        <f>+$G$5*D56+(1-$G$5)*G56</f>
        <v>17.701731429822985</v>
      </c>
      <c r="H57" s="12"/>
      <c r="I57" s="12"/>
    </row>
    <row r="58" spans="1:9" x14ac:dyDescent="0.3">
      <c r="A58" s="2">
        <v>44805</v>
      </c>
      <c r="B58">
        <v>827008</v>
      </c>
      <c r="C58">
        <v>16860799.819999993</v>
      </c>
      <c r="D58" s="12">
        <f t="shared" si="0"/>
        <v>20.387710663016552</v>
      </c>
      <c r="E58" s="12">
        <f t="shared" si="2"/>
        <v>16.364748289908807</v>
      </c>
      <c r="F58" s="12">
        <f t="shared" si="1"/>
        <v>17.85243408576272</v>
      </c>
      <c r="G58" s="12">
        <f>+$G$5*D57+(1-$G$5)*G57</f>
        <v>17.777082757792854</v>
      </c>
      <c r="H58" s="12"/>
      <c r="I58" s="12"/>
    </row>
    <row r="59" spans="1:9" x14ac:dyDescent="0.3">
      <c r="A59" s="2">
        <v>44835</v>
      </c>
      <c r="B59">
        <v>836972</v>
      </c>
      <c r="C59">
        <v>16021961.829999991</v>
      </c>
      <c r="D59" s="12">
        <f t="shared" si="0"/>
        <v>19.142769208527874</v>
      </c>
      <c r="E59" s="12">
        <f t="shared" si="2"/>
        <v>16.506994595909067</v>
      </c>
      <c r="F59" s="12">
        <f t="shared" si="1"/>
        <v>20.387710663016552</v>
      </c>
      <c r="G59" s="12">
        <f>+$G$5*D58+(1-$G$5)*G58</f>
        <v>19.082396710404701</v>
      </c>
      <c r="H59" s="12"/>
      <c r="I59" s="12"/>
    </row>
    <row r="60" spans="1:9" x14ac:dyDescent="0.3">
      <c r="A60" s="2">
        <v>44866</v>
      </c>
      <c r="B60">
        <v>835251</v>
      </c>
      <c r="C60">
        <v>13850327.760000005</v>
      </c>
      <c r="D60" s="12">
        <f t="shared" si="0"/>
        <v>16.582234274487554</v>
      </c>
      <c r="E60" s="12">
        <f t="shared" si="2"/>
        <v>16.398853718661055</v>
      </c>
      <c r="F60" s="12">
        <f t="shared" si="1"/>
        <v>19.142769208527874</v>
      </c>
      <c r="G60" s="12">
        <f>+$G$5*D59+(1-$G$5)*G59</f>
        <v>19.112582959466287</v>
      </c>
      <c r="H60" s="12"/>
      <c r="I60" s="12"/>
    </row>
    <row r="61" spans="1:9" x14ac:dyDescent="0.3">
      <c r="A61" s="2">
        <v>44896</v>
      </c>
      <c r="B61">
        <v>839828</v>
      </c>
      <c r="C61">
        <v>12753091.889999997</v>
      </c>
      <c r="D61" s="12">
        <f t="shared" si="0"/>
        <v>15.185361633572585</v>
      </c>
      <c r="E61" s="12">
        <f t="shared" si="2"/>
        <v>16.377436734878533</v>
      </c>
      <c r="F61" s="12">
        <f t="shared" si="1"/>
        <v>16.582234274487554</v>
      </c>
      <c r="G61" s="12">
        <f>+$G$5*D60+(1-$G$5)*G60</f>
        <v>17.847408616976921</v>
      </c>
      <c r="H61" s="12"/>
      <c r="I61" s="12"/>
    </row>
    <row r="62" spans="1:9" x14ac:dyDescent="0.3">
      <c r="A62" s="2">
        <v>44927</v>
      </c>
      <c r="B62">
        <v>842786</v>
      </c>
      <c r="C62">
        <v>11498362.130000003</v>
      </c>
      <c r="D62" s="12">
        <f t="shared" si="0"/>
        <v>13.643276146020463</v>
      </c>
      <c r="E62" s="12">
        <f t="shared" si="2"/>
        <v>16.290408650284188</v>
      </c>
      <c r="F62" s="12">
        <f t="shared" si="1"/>
        <v>15.185361633572585</v>
      </c>
      <c r="G62" s="12">
        <f>+$G$5*D61+(1-$G$5)*G61</f>
        <v>16.516385125274752</v>
      </c>
      <c r="H62" s="12"/>
      <c r="I62" s="12"/>
    </row>
    <row r="63" spans="1:9" x14ac:dyDescent="0.3">
      <c r="A63" s="2">
        <v>44958</v>
      </c>
      <c r="B63">
        <v>849730</v>
      </c>
      <c r="C63">
        <v>10963722.77</v>
      </c>
      <c r="D63" s="12">
        <f t="shared" si="0"/>
        <v>12.902595848092924</v>
      </c>
      <c r="E63" s="12">
        <f t="shared" si="2"/>
        <v>16.273727758202082</v>
      </c>
      <c r="F63" s="12">
        <f t="shared" si="1"/>
        <v>13.643276146020463</v>
      </c>
      <c r="G63" s="12">
        <f>+$G$5*D62+(1-$G$5)*G62</f>
        <v>15.079830635647607</v>
      </c>
      <c r="H63" s="12"/>
      <c r="I63" s="12"/>
    </row>
    <row r="64" spans="1:9" x14ac:dyDescent="0.3">
      <c r="A64" s="2">
        <v>44986</v>
      </c>
      <c r="B64">
        <v>871121</v>
      </c>
      <c r="C64">
        <v>10799011.199999999</v>
      </c>
      <c r="D64" s="12">
        <f t="shared" si="0"/>
        <v>12.396683353977231</v>
      </c>
      <c r="E64" s="12">
        <f t="shared" si="2"/>
        <v>16.309256815093942</v>
      </c>
      <c r="F64" s="12">
        <f t="shared" si="1"/>
        <v>12.902595848092924</v>
      </c>
      <c r="G64" s="12">
        <f>+$G$5*D63+(1-$G$5)*G63</f>
        <v>13.991213241870266</v>
      </c>
      <c r="H64" s="12"/>
      <c r="I64" s="12"/>
    </row>
    <row r="65" spans="1:9" x14ac:dyDescent="0.3">
      <c r="A65" s="2">
        <v>45017</v>
      </c>
      <c r="B65">
        <v>872631</v>
      </c>
      <c r="C65">
        <v>11613993.149999995</v>
      </c>
      <c r="D65" s="12">
        <f t="shared" si="0"/>
        <v>13.309168652041922</v>
      </c>
      <c r="E65" s="12">
        <f t="shared" si="2"/>
        <v>16.251547467975005</v>
      </c>
      <c r="F65" s="12">
        <f t="shared" si="1"/>
        <v>12.396683353977231</v>
      </c>
      <c r="G65" s="12">
        <f>+$G$5*D64+(1-$G$5)*G64</f>
        <v>13.193948297923749</v>
      </c>
      <c r="H65" s="12"/>
      <c r="I65" s="12"/>
    </row>
    <row r="66" spans="1:9" x14ac:dyDescent="0.3">
      <c r="A66" s="2">
        <v>45047</v>
      </c>
      <c r="B66">
        <v>889200</v>
      </c>
      <c r="C66">
        <v>12827255.460000003</v>
      </c>
      <c r="D66" s="12">
        <f t="shared" si="0"/>
        <v>14.425613427800274</v>
      </c>
      <c r="E66" s="12">
        <f t="shared" si="2"/>
        <v>16.097486414269934</v>
      </c>
      <c r="F66" s="12">
        <f t="shared" si="1"/>
        <v>13.309168652041922</v>
      </c>
      <c r="G66" s="12">
        <f>+$G$5*D65+(1-$G$5)*G65</f>
        <v>13.251558474982836</v>
      </c>
      <c r="H66" s="12"/>
      <c r="I66" s="12"/>
    </row>
    <row r="67" spans="1:9" x14ac:dyDescent="0.3">
      <c r="A67" s="2">
        <v>45078</v>
      </c>
      <c r="B67">
        <v>892064</v>
      </c>
      <c r="C67">
        <v>15151977.519999998</v>
      </c>
      <c r="D67" s="12">
        <f t="shared" si="0"/>
        <v>16.985303206944792</v>
      </c>
      <c r="E67" s="12">
        <f t="shared" si="2"/>
        <v>15.945095160940648</v>
      </c>
      <c r="F67" s="12">
        <f t="shared" si="1"/>
        <v>14.425613427800274</v>
      </c>
      <c r="G67" s="12">
        <f>+$G$5*D66+(1-$G$5)*G66</f>
        <v>13.838585951391554</v>
      </c>
      <c r="H67" s="12"/>
      <c r="I67" s="12"/>
    </row>
    <row r="68" spans="1:9" x14ac:dyDescent="0.3">
      <c r="A68" s="2">
        <v>45108</v>
      </c>
      <c r="B68">
        <v>903808</v>
      </c>
      <c r="C68">
        <v>16093576.459999997</v>
      </c>
      <c r="D68" s="12">
        <f t="shared" si="0"/>
        <v>17.806410719975922</v>
      </c>
      <c r="E68" s="12">
        <f t="shared" si="2"/>
        <v>15.884963435018404</v>
      </c>
      <c r="F68" s="12">
        <f t="shared" si="1"/>
        <v>16.985303206944792</v>
      </c>
      <c r="G68" s="12">
        <f>+$G$5*D67+(1-$G$5)*G67</f>
        <v>15.411944579168173</v>
      </c>
      <c r="H68" s="12"/>
      <c r="I68" s="12"/>
    </row>
    <row r="69" spans="1:9" x14ac:dyDescent="0.3">
      <c r="A69" s="2">
        <v>45139</v>
      </c>
      <c r="B69">
        <v>914217</v>
      </c>
      <c r="C69">
        <v>15199612.759999998</v>
      </c>
      <c r="D69" s="12">
        <f t="shared" si="0"/>
        <v>16.625825990984634</v>
      </c>
      <c r="E69" s="12">
        <f t="shared" si="2"/>
        <v>15.782746093786896</v>
      </c>
      <c r="F69" s="12">
        <f t="shared" si="1"/>
        <v>17.806410719975922</v>
      </c>
      <c r="G69" s="12">
        <f>+$G$5*D68+(1-$G$5)*G68</f>
        <v>16.609177649572047</v>
      </c>
      <c r="H69" s="12"/>
      <c r="I69" s="12"/>
    </row>
    <row r="70" spans="1:9" x14ac:dyDescent="0.3">
      <c r="A70" s="2">
        <v>45170</v>
      </c>
      <c r="B70">
        <v>915812</v>
      </c>
      <c r="C70">
        <v>15400262.390000002</v>
      </c>
      <c r="D70" s="12">
        <f t="shared" si="0"/>
        <v>16.815964837761463</v>
      </c>
      <c r="E70" s="12">
        <f t="shared" si="2"/>
        <v>15.485100608348972</v>
      </c>
      <c r="F70" s="12">
        <f t="shared" si="1"/>
        <v>16.625825990984634</v>
      </c>
      <c r="G70" s="12">
        <f>+$G$5*D69+(1-$G$5)*G69</f>
        <v>16.617501820278342</v>
      </c>
      <c r="H70" s="12"/>
      <c r="I70" s="12"/>
    </row>
    <row r="71" spans="1:9" x14ac:dyDescent="0.3">
      <c r="A71" s="2">
        <v>45200</v>
      </c>
      <c r="B71">
        <v>923957</v>
      </c>
      <c r="C71">
        <v>12893518.629999995</v>
      </c>
      <c r="D71" s="12">
        <f t="shared" si="0"/>
        <v>13.954673897161875</v>
      </c>
      <c r="E71" s="12">
        <f t="shared" si="2"/>
        <v>15.052759332401804</v>
      </c>
      <c r="F71" s="12">
        <f t="shared" si="1"/>
        <v>16.815964837761463</v>
      </c>
      <c r="G71" s="12">
        <f>+$G$5*D70+(1-$G$5)*G70</f>
        <v>16.716733329019902</v>
      </c>
      <c r="H71" s="12"/>
      <c r="I71" s="12"/>
    </row>
    <row r="72" spans="1:9" x14ac:dyDescent="0.3">
      <c r="A72" s="2">
        <v>45231</v>
      </c>
      <c r="B72">
        <v>929338</v>
      </c>
      <c r="C72">
        <v>12983199.739999995</v>
      </c>
      <c r="D72" s="12">
        <f t="shared" ref="D72:D84" si="3">+C72/B72</f>
        <v>13.970374330975377</v>
      </c>
      <c r="E72" s="12">
        <f t="shared" si="2"/>
        <v>14.835104337109122</v>
      </c>
      <c r="F72" s="12">
        <f t="shared" si="1"/>
        <v>13.954673897161875</v>
      </c>
      <c r="G72" s="12">
        <f>+$G$5*D71+(1-$G$5)*G71</f>
        <v>15.335703613090889</v>
      </c>
      <c r="H72" s="12"/>
      <c r="I72" s="12"/>
    </row>
    <row r="73" spans="1:9" x14ac:dyDescent="0.3">
      <c r="A73" s="2">
        <v>45261</v>
      </c>
      <c r="B73">
        <v>938033</v>
      </c>
      <c r="C73">
        <v>9854118.0800000094</v>
      </c>
      <c r="D73" s="12">
        <f t="shared" si="3"/>
        <v>10.50508679332178</v>
      </c>
      <c r="E73" s="12">
        <f t="shared" si="2"/>
        <v>14.445081433754888</v>
      </c>
      <c r="F73" s="12">
        <f t="shared" ref="F73:F84" si="4">+D72</f>
        <v>13.970374330975377</v>
      </c>
      <c r="G73" s="12">
        <f>+$G$5*D72+(1-$G$5)*G72</f>
        <v>14.653038972033134</v>
      </c>
      <c r="H73" s="12"/>
      <c r="I73" s="12"/>
    </row>
    <row r="74" spans="1:9" x14ac:dyDescent="0.3">
      <c r="A74" s="2">
        <v>45292</v>
      </c>
      <c r="B74">
        <v>954346</v>
      </c>
      <c r="C74">
        <v>10013531.960000003</v>
      </c>
      <c r="D74" s="12">
        <f t="shared" si="3"/>
        <v>10.49255926047786</v>
      </c>
      <c r="E74" s="12">
        <f t="shared" si="2"/>
        <v>14.182521693293005</v>
      </c>
      <c r="F74" s="12">
        <f t="shared" si="4"/>
        <v>10.50508679332178</v>
      </c>
      <c r="G74" s="12">
        <f>+$G$5*D73+(1-$G$5)*G73</f>
        <v>12.579062882677457</v>
      </c>
      <c r="H74" s="12"/>
      <c r="I74" s="12"/>
    </row>
    <row r="75" spans="1:9" x14ac:dyDescent="0.3">
      <c r="A75" s="2">
        <v>45323</v>
      </c>
      <c r="B75">
        <v>956989</v>
      </c>
      <c r="C75">
        <v>10508746.959999997</v>
      </c>
      <c r="D75" s="12">
        <f t="shared" si="3"/>
        <v>10.981053031957522</v>
      </c>
      <c r="E75" s="12">
        <f t="shared" si="2"/>
        <v>14.022393125281722</v>
      </c>
      <c r="F75" s="12">
        <f t="shared" si="4"/>
        <v>10.49255926047786</v>
      </c>
      <c r="G75" s="12">
        <f>+$G$5*D74+(1-$G$5)*G74</f>
        <v>11.535811071577658</v>
      </c>
      <c r="H75" s="12"/>
      <c r="I75" s="12"/>
    </row>
    <row r="76" spans="1:9" x14ac:dyDescent="0.3">
      <c r="A76" s="2">
        <v>45352</v>
      </c>
      <c r="B76">
        <v>957061</v>
      </c>
      <c r="C76">
        <v>9840196.3599999994</v>
      </c>
      <c r="D76" s="12">
        <f t="shared" si="3"/>
        <v>10.281681481117714</v>
      </c>
      <c r="E76" s="12">
        <f t="shared" si="2"/>
        <v>13.846142969210097</v>
      </c>
      <c r="F76" s="12">
        <f t="shared" si="4"/>
        <v>10.981053031957522</v>
      </c>
      <c r="G76" s="12">
        <f>+$G$5*D75+(1-$G$5)*G75</f>
        <v>11.25843205176759</v>
      </c>
      <c r="H76" s="12"/>
      <c r="I76" s="12"/>
    </row>
    <row r="77" spans="1:9" x14ac:dyDescent="0.3">
      <c r="A77" s="2">
        <v>45383</v>
      </c>
      <c r="B77">
        <v>976256</v>
      </c>
      <c r="C77">
        <v>11106815.199999999</v>
      </c>
      <c r="D77" s="12">
        <f t="shared" si="3"/>
        <v>11.376949488658711</v>
      </c>
      <c r="E77" s="12">
        <f t="shared" si="2"/>
        <v>13.685124705594825</v>
      </c>
      <c r="F77" s="12">
        <f t="shared" si="4"/>
        <v>10.281681481117714</v>
      </c>
      <c r="G77" s="12">
        <f>+$G$5*D76+(1-$G$5)*G76</f>
        <v>10.770056766442652</v>
      </c>
      <c r="H77" s="12"/>
      <c r="I77" s="12"/>
    </row>
    <row r="78" spans="1:9" x14ac:dyDescent="0.3">
      <c r="A78" s="2">
        <v>45413</v>
      </c>
      <c r="B78">
        <v>973570</v>
      </c>
      <c r="C78">
        <v>12646040.030000007</v>
      </c>
      <c r="D78" s="12">
        <f t="shared" si="3"/>
        <v>12.989348511149693</v>
      </c>
      <c r="E78" s="12">
        <f t="shared" si="2"/>
        <v>13.565435962540613</v>
      </c>
      <c r="F78" s="12">
        <f t="shared" si="4"/>
        <v>11.376949488658711</v>
      </c>
      <c r="G78" s="12">
        <f>+$G$5*D77+(1-$G$5)*G77</f>
        <v>11.073503127550682</v>
      </c>
      <c r="H78" s="12"/>
      <c r="I78" s="12"/>
    </row>
    <row r="79" spans="1:9" x14ac:dyDescent="0.3">
      <c r="A79" s="2">
        <v>45444</v>
      </c>
      <c r="B79">
        <v>980394</v>
      </c>
      <c r="C79">
        <v>14641018.050000001</v>
      </c>
      <c r="D79" s="12">
        <f t="shared" si="3"/>
        <v>14.93381033543657</v>
      </c>
      <c r="E79" s="12">
        <f t="shared" si="2"/>
        <v>13.394478223248258</v>
      </c>
      <c r="F79" s="12">
        <f t="shared" si="4"/>
        <v>12.989348511149693</v>
      </c>
      <c r="G79" s="12">
        <f>+$G$5*D78+(1-$G$5)*G78</f>
        <v>12.031425819350186</v>
      </c>
      <c r="H79" s="12"/>
      <c r="I79" s="12"/>
    </row>
    <row r="80" spans="1:9" x14ac:dyDescent="0.3">
      <c r="A80" s="2">
        <v>45474</v>
      </c>
      <c r="B80">
        <v>1282205</v>
      </c>
      <c r="C80">
        <v>15593888.509999996</v>
      </c>
      <c r="D80" s="12">
        <f t="shared" si="3"/>
        <v>12.161774840996561</v>
      </c>
      <c r="E80" s="12">
        <f t="shared" si="2"/>
        <v>12.924091899999979</v>
      </c>
      <c r="F80" s="12">
        <f t="shared" si="4"/>
        <v>14.93381033543657</v>
      </c>
      <c r="G80" s="12">
        <f>+$G$5*D79+(1-$G$5)*G79</f>
        <v>13.482618077393379</v>
      </c>
      <c r="H80" s="12"/>
      <c r="I80" s="12"/>
    </row>
    <row r="81" spans="1:9" x14ac:dyDescent="0.3">
      <c r="A81" s="2">
        <v>45505</v>
      </c>
      <c r="B81">
        <v>997912</v>
      </c>
      <c r="C81">
        <v>16613702.979999995</v>
      </c>
      <c r="D81" s="12">
        <f t="shared" si="3"/>
        <v>16.648464974867519</v>
      </c>
      <c r="E81" s="12">
        <f t="shared" si="2"/>
        <v>12.925978481990221</v>
      </c>
      <c r="F81" s="12">
        <f t="shared" si="4"/>
        <v>12.161774840996561</v>
      </c>
      <c r="G81" s="12">
        <f>+$G$5*D80+(1-$G$5)*G80</f>
        <v>12.82219645919497</v>
      </c>
      <c r="H81" s="12"/>
      <c r="I81" s="12"/>
    </row>
    <row r="82" spans="1:9" x14ac:dyDescent="0.3">
      <c r="A82" s="2">
        <v>45536</v>
      </c>
      <c r="B82">
        <v>1008032</v>
      </c>
      <c r="C82">
        <v>16350156.840000011</v>
      </c>
      <c r="D82" s="12">
        <f t="shared" si="3"/>
        <v>16.219878773689736</v>
      </c>
      <c r="E82" s="12">
        <f t="shared" si="2"/>
        <v>12.876304643317576</v>
      </c>
      <c r="F82" s="12">
        <f t="shared" si="4"/>
        <v>16.648464974867519</v>
      </c>
      <c r="G82" s="12">
        <f>+$G$5*D81+(1-$G$5)*G81</f>
        <v>14.735330717031244</v>
      </c>
      <c r="H82" s="12"/>
      <c r="I82" s="12"/>
    </row>
    <row r="83" spans="1:9" x14ac:dyDescent="0.3">
      <c r="A83" s="2">
        <v>45566</v>
      </c>
      <c r="B83">
        <v>1019132</v>
      </c>
      <c r="C83">
        <v>14005515.050000006</v>
      </c>
      <c r="D83" s="12">
        <f t="shared" si="3"/>
        <v>13.742591783988734</v>
      </c>
      <c r="E83" s="12">
        <f>AVERAGE(D72:D83)</f>
        <v>12.858631133886483</v>
      </c>
      <c r="F83" s="12">
        <f t="shared" si="4"/>
        <v>16.219878773689736</v>
      </c>
      <c r="G83" s="12">
        <f>+$G$5*D82+(1-$G$5)*G82</f>
        <v>15.477604745360491</v>
      </c>
      <c r="H83" s="12"/>
      <c r="I83" s="12"/>
    </row>
    <row r="84" spans="1:9" x14ac:dyDescent="0.3">
      <c r="A84" s="2">
        <v>45597</v>
      </c>
      <c r="B84">
        <v>1023362</v>
      </c>
      <c r="C84">
        <v>14124433.440000001</v>
      </c>
      <c r="D84" s="12">
        <f t="shared" si="3"/>
        <v>13.801991318809963</v>
      </c>
      <c r="E84" s="12">
        <f>AVERAGE(D73:D84)</f>
        <v>12.84459921620603</v>
      </c>
      <c r="F84" s="12">
        <f t="shared" si="4"/>
        <v>13.742591783988734</v>
      </c>
      <c r="G84" s="12">
        <f>+$G$5*D83+(1-$G$5)*G83</f>
        <v>14.610098264674612</v>
      </c>
      <c r="H84" s="12"/>
      <c r="I84" s="12"/>
    </row>
    <row r="91" spans="1:9" x14ac:dyDescent="0.3">
      <c r="A91" s="2"/>
    </row>
    <row r="92" spans="1:9" x14ac:dyDescent="0.3">
      <c r="A92" s="2"/>
    </row>
    <row r="93" spans="1:9" x14ac:dyDescent="0.3">
      <c r="A93" s="2"/>
    </row>
    <row r="94" spans="1:9" x14ac:dyDescent="0.3">
      <c r="A94" s="2"/>
    </row>
    <row r="95" spans="1:9" x14ac:dyDescent="0.3">
      <c r="A95" s="2"/>
    </row>
    <row r="96" spans="1:9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RESIDENCIAL_COLETIVO Aditivo</vt:lpstr>
      <vt:lpstr>RESIDENCIAL_COLETIVO Multip</vt:lpstr>
      <vt:lpstr>RESIDENCIAL_COLETIVO Suavização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2025-07-12T13:35:46Z</dcterms:created>
  <dcterms:modified xsi:type="dcterms:W3CDTF">2025-07-14T18:41:09Z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2025-07-12T13:44:42Z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7aaebf95-abdb-4c10-aa82-ce8dfd9af427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